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My\Downloads\"/>
    </mc:Choice>
  </mc:AlternateContent>
  <xr:revisionPtr revIDLastSave="0" documentId="8_{97A84D0F-46D1-43D0-B292-0363264C3392}" xr6:coauthVersionLast="47" xr6:coauthVersionMax="47" xr10:uidLastSave="{00000000-0000-0000-0000-000000000000}"/>
  <bookViews>
    <workbookView xWindow="28680" yWindow="-120" windowWidth="20730" windowHeight="11040" firstSheet="3" activeTab="5" xr2:uid="{00000000-000D-0000-FFFF-FFFF00000000}"/>
  </bookViews>
  <sheets>
    <sheet name="Fleet_Data" sheetId="1" r:id="rId1"/>
    <sheet name="Fuel_Events" sheetId="2" r:id="rId2"/>
    <sheet name="Task_1_Data_Validation" sheetId="3" r:id="rId3"/>
    <sheet name="Task 2 – KPI Analysis" sheetId="4" r:id="rId4"/>
    <sheet name="Task 3 – Business Insights " sheetId="6" r:id="rId5"/>
    <sheet name="Task 4 – Fuel Investigation " sheetId="9" r:id="rId6"/>
  </sheets>
  <definedNames>
    <definedName name="_xlnm._FilterDatabase" localSheetId="0" hidden="1">Fleet_Data!$A$1:$I$805</definedName>
    <definedName name="_xlnm._FilterDatabase" localSheetId="1" hidden="1">Fuel_Events!$A$1:$F$1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6" l="1"/>
  <c r="D11" i="6"/>
  <c r="D12" i="6"/>
  <c r="D13" i="6"/>
  <c r="D14" i="6"/>
  <c r="F3" i="2"/>
  <c r="F4" i="2"/>
  <c r="F5" i="2"/>
  <c r="F6" i="2"/>
  <c r="F7" i="2"/>
  <c r="F8" i="2"/>
  <c r="F9" i="2"/>
  <c r="F10" i="2"/>
  <c r="F11" i="2"/>
  <c r="B7" i="9" s="1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2" i="2"/>
  <c r="B6" i="9"/>
  <c r="B5" i="9"/>
  <c r="B4" i="9"/>
  <c r="D33" i="6"/>
  <c r="D32" i="6"/>
  <c r="D31" i="6"/>
  <c r="D30" i="6"/>
  <c r="B8" i="4"/>
  <c r="B7" i="4"/>
  <c r="B6" i="4"/>
  <c r="B5" i="4"/>
  <c r="B4" i="4"/>
</calcChain>
</file>

<file path=xl/sharedStrings.xml><?xml version="1.0" encoding="utf-8"?>
<sst xmlns="http://schemas.openxmlformats.org/spreadsheetml/2006/main" count="2830" uniqueCount="180">
  <si>
    <t>Vehicle_ID</t>
  </si>
  <si>
    <t>Driver_Name</t>
  </si>
  <si>
    <t>Date</t>
  </si>
  <si>
    <t>Distance_KM</t>
  </si>
  <si>
    <t>Fuel_Consumed_L</t>
  </si>
  <si>
    <t>Idle_Time_Hrs</t>
  </si>
  <si>
    <t>Trips</t>
  </si>
  <si>
    <t>Average_Speed_KMH</t>
  </si>
  <si>
    <t>Route_Compliance_Pct</t>
  </si>
  <si>
    <t>VH-004</t>
  </si>
  <si>
    <t>Driver D</t>
  </si>
  <si>
    <t>VH-003</t>
  </si>
  <si>
    <t>Driver C</t>
  </si>
  <si>
    <t>VH-018</t>
  </si>
  <si>
    <t>Driver R</t>
  </si>
  <si>
    <t>VH-014</t>
  </si>
  <si>
    <t>Driver N</t>
  </si>
  <si>
    <t>VH-012</t>
  </si>
  <si>
    <t>Driver L</t>
  </si>
  <si>
    <t>VH-008</t>
  </si>
  <si>
    <t>Driver H</t>
  </si>
  <si>
    <t>VH-002</t>
  </si>
  <si>
    <t>Driver B</t>
  </si>
  <si>
    <t>VH-011</t>
  </si>
  <si>
    <t>Driver K</t>
  </si>
  <si>
    <t>VH-005</t>
  </si>
  <si>
    <t>Driver E</t>
  </si>
  <si>
    <t>VH-001</t>
  </si>
  <si>
    <t>Driver A</t>
  </si>
  <si>
    <t>VH-010</t>
  </si>
  <si>
    <t>Driver J</t>
  </si>
  <si>
    <t>VH-017</t>
  </si>
  <si>
    <t>Driver Q</t>
  </si>
  <si>
    <t>VH-007</t>
  </si>
  <si>
    <t>Driver G</t>
  </si>
  <si>
    <t>VH-015</t>
  </si>
  <si>
    <t>Driver O</t>
  </si>
  <si>
    <t>VH-006</t>
  </si>
  <si>
    <t>Driver F</t>
  </si>
  <si>
    <t>VH-013</t>
  </si>
  <si>
    <t>Driver M</t>
  </si>
  <si>
    <t>VH-019</t>
  </si>
  <si>
    <t>Driver S</t>
  </si>
  <si>
    <t>VH-016</t>
  </si>
  <si>
    <t>Driver P</t>
  </si>
  <si>
    <t>VH-020</t>
  </si>
  <si>
    <t>Driver T</t>
  </si>
  <si>
    <t>VH-009</t>
  </si>
  <si>
    <t>Driver I</t>
  </si>
  <si>
    <t>Timestamp</t>
  </si>
  <si>
    <t>Event_Type</t>
  </si>
  <si>
    <t>Quantity_L</t>
  </si>
  <si>
    <t>Location</t>
  </si>
  <si>
    <t>Consumption Alert</t>
  </si>
  <si>
    <t>Vadodara</t>
  </si>
  <si>
    <t>Refuel</t>
  </si>
  <si>
    <t>Ahmedabad</t>
  </si>
  <si>
    <t>Fuel Drop</t>
  </si>
  <si>
    <t>Rajkot</t>
  </si>
  <si>
    <t>Fuel Fill</t>
  </si>
  <si>
    <t>Bharuch</t>
  </si>
  <si>
    <t>Indore</t>
  </si>
  <si>
    <t>Surat</t>
  </si>
  <si>
    <t>Remote Route</t>
  </si>
  <si>
    <t>Part A – Fleet_Data Validation</t>
  </si>
  <si>
    <t>Missing Values Table</t>
  </si>
  <si>
    <t>Column</t>
  </si>
  <si>
    <t>Missing</t>
  </si>
  <si>
    <t>Action</t>
  </si>
  <si>
    <t>Replaced with Mean</t>
  </si>
  <si>
    <t>NOTE :Only 5 missing values were found in each numerical column. Since the missing percentage was very low, the missing values were replaced using the column mean.</t>
  </si>
  <si>
    <t>Duplicate Table</t>
  </si>
  <si>
    <t>Check</t>
  </si>
  <si>
    <t>Result</t>
  </si>
  <si>
    <t>Duplicate Records</t>
  </si>
  <si>
    <t>Removed</t>
  </si>
  <si>
    <t xml:space="preserve"> Suspicious Records</t>
  </si>
  <si>
    <t>Issue Identified</t>
  </si>
  <si>
    <t>Reason</t>
  </si>
  <si>
    <t>High Fuel Consumption</t>
  </si>
  <si>
    <t>High Idle Time</t>
  </si>
  <si>
    <t>Unrealistic Fuel Efficiency</t>
  </si>
  <si>
    <t>Poor Route Compliance</t>
  </si>
  <si>
    <r>
      <t xml:space="preserve">Vehicle travelled </t>
    </r>
    <r>
      <rPr>
        <b/>
        <sz val="11"/>
        <color theme="1"/>
        <rFont val="Calibri"/>
        <family val="2"/>
        <scheme val="minor"/>
      </rPr>
      <t>250 KM</t>
    </r>
    <r>
      <rPr>
        <sz val="11"/>
        <color theme="1"/>
        <rFont val="Calibri"/>
        <family val="2"/>
        <scheme val="minor"/>
      </rPr>
      <t xml:space="preserve"> but consumed </t>
    </r>
    <r>
      <rPr>
        <b/>
        <sz val="11"/>
        <color theme="1"/>
        <rFont val="Calibri"/>
        <family val="2"/>
        <scheme val="minor"/>
      </rPr>
      <t>120 L</t>
    </r>
    <r>
      <rPr>
        <sz val="11"/>
        <color theme="1"/>
        <rFont val="Calibri"/>
        <family val="2"/>
        <scheme val="minor"/>
      </rPr>
      <t xml:space="preserve"> of fuel, resulting in very low fuel efficiency</t>
    </r>
  </si>
  <si>
    <r>
      <t xml:space="preserve">Idle time is </t>
    </r>
    <r>
      <rPr>
        <b/>
        <sz val="11"/>
        <color theme="1"/>
        <rFont val="Calibri"/>
        <family val="2"/>
        <scheme val="minor"/>
      </rPr>
      <t>12 hours</t>
    </r>
    <r>
      <rPr>
        <sz val="11"/>
        <color theme="1"/>
        <rFont val="Calibri"/>
        <family val="2"/>
        <scheme val="minor"/>
      </rPr>
      <t xml:space="preserve"> and average speed is only </t>
    </r>
    <r>
      <rPr>
        <b/>
        <sz val="11"/>
        <color theme="1"/>
        <rFont val="Calibri"/>
        <family val="2"/>
        <scheme val="minor"/>
      </rPr>
      <t>20 KM/H</t>
    </r>
    <r>
      <rPr>
        <sz val="11"/>
        <color theme="1"/>
        <rFont val="Calibri"/>
        <family val="2"/>
        <scheme val="minor"/>
      </rPr>
      <t>, indicating excessive engine idle time.</t>
    </r>
  </si>
  <si>
    <t>Route compliance is only 40%, indicating significant route deviation.</t>
  </si>
  <si>
    <t xml:space="preserve"> Vehicle travelled 400 KM using only 15 L of fuel, which is unusually high efficiency.</t>
  </si>
  <si>
    <t>Part B – Fuel_Events Validation</t>
  </si>
  <si>
    <t>Missing Values</t>
  </si>
  <si>
    <t>Action Taken</t>
  </si>
  <si>
    <t>No Action Required</t>
  </si>
  <si>
    <t xml:space="preserve"> Note: No missing values were found in the Fuel_Events dataset.</t>
  </si>
  <si>
    <t>Potential Fuel Theft Cases (Remote Route Fuel Drops)</t>
  </si>
  <si>
    <t>Date &amp; Time</t>
  </si>
  <si>
    <t>Fuel Drop (L)</t>
  </si>
  <si>
    <t>Risk</t>
  </si>
  <si>
    <t>High</t>
  </si>
  <si>
    <t>Fuel Drops During Unusual Hours (&gt;30 L)</t>
  </si>
  <si>
    <t>Qty (L)</t>
  </si>
  <si>
    <t>Remark</t>
  </si>
  <si>
    <t>High fuel drop</t>
  </si>
  <si>
    <t>Night-time fuel drop</t>
  </si>
  <si>
    <t>Early morning fuel drop</t>
  </si>
  <si>
    <t>High-risk location</t>
  </si>
  <si>
    <t>Repeated fuel drop</t>
  </si>
  <si>
    <t>High fuel drops (&gt;30 L) were detected during night hours, indicating potential fuel theft.</t>
  </si>
  <si>
    <t>Three remote-route fuel drops occurred between 1–3 AM with losses exceeding 40 L, indicating possible fuel theft or leakage.</t>
  </si>
  <si>
    <t>Vehicle</t>
  </si>
  <si>
    <t>Drop Count</t>
  </si>
  <si>
    <t>Vehicles with Highest Repeated Fuel Drops</t>
  </si>
  <si>
    <t>Vehicles VH-006, VH-012, and VH-005 recorded the highest number of repeated fuel drops (9 each), indicating a need for further investigation.</t>
  </si>
  <si>
    <t>TASK 2 – KPI ANALYSIS</t>
  </si>
  <si>
    <t>Total Distance Travelled</t>
  </si>
  <si>
    <t>Total Fuel Consumed</t>
  </si>
  <si>
    <t>Average Fuel Efficiency</t>
  </si>
  <si>
    <t>Average Idle Time</t>
  </si>
  <si>
    <t>Avg Route Compliance</t>
  </si>
  <si>
    <t>Top 5 Vehicles by Distance</t>
  </si>
  <si>
    <t>Grand Total</t>
  </si>
  <si>
    <t>Sum of Distance_KM</t>
  </si>
  <si>
    <t>- Top 5 Vehicles by Fuel Consumption</t>
  </si>
  <si>
    <t>Sum of Fuel_Consumed_L</t>
  </si>
  <si>
    <t xml:space="preserve">                      KPI</t>
  </si>
  <si>
    <t xml:space="preserve">                     ANS</t>
  </si>
  <si>
    <t>Fuel Efficiency</t>
  </si>
  <si>
    <t>Vehicle ID</t>
  </si>
  <si>
    <t xml:space="preserve">Task 3 – Business Insights </t>
  </si>
  <si>
    <t>Q1</t>
  </si>
  <si>
    <t>2. Drivers with Unusually High Idle Times (Top 5 by Avg Idle)</t>
  </si>
  <si>
    <t>Q2</t>
  </si>
  <si>
    <t>Driver</t>
  </si>
  <si>
    <t>Avg Idle (Hrs)</t>
  </si>
  <si>
    <t>1. Least Fuel Efficient Vehicles (Bottom 5 by KM/L)</t>
  </si>
  <si>
    <t>VH-009, VH-001, VH-020, and VH-005 have unusually high fuel consumption due to lower fuel efficiency compared to other vehicles.</t>
  </si>
  <si>
    <t>3. Which vehicles show abnormal fuel consumption?</t>
  </si>
  <si>
    <t>Q3</t>
  </si>
  <si>
    <t>4. Vehicles with Poor Route Compliance (Lowest 5 Avg %)</t>
  </si>
  <si>
    <t>Q4</t>
  </si>
  <si>
    <t>Avg Compliance %</t>
  </si>
  <si>
    <t>5. Operational Improvement Recommendations</t>
  </si>
  <si>
    <t>TASK 4 – FUEL INVESTIGATION</t>
  </si>
  <si>
    <t>1. Suspicious Fuel Drop Patterns – Summary</t>
  </si>
  <si>
    <t>2. Fuel Drops during Unusual Hours (Hour &lt;6 or &gt;22) – Top by Quantity</t>
  </si>
  <si>
    <t>Hour</t>
  </si>
  <si>
    <t>2026-02-19 04:47</t>
  </si>
  <si>
    <t>2026-02-25 23:38</t>
  </si>
  <si>
    <t>2026-03-26 03:47</t>
  </si>
  <si>
    <t>2026-02-19 05:26</t>
  </si>
  <si>
    <t>2026-02-20 01:40</t>
  </si>
  <si>
    <t>2026-02-15 02:15</t>
  </si>
  <si>
    <t>2026-02-06 05:12</t>
  </si>
  <si>
    <t>2026-03-28 04:23</t>
  </si>
  <si>
    <t>2026-03-07 01:54</t>
  </si>
  <si>
    <t>2026-03-05 03:10</t>
  </si>
  <si>
    <t>2026-02-04 05:31</t>
  </si>
  <si>
    <t>2026-03-09 01:38</t>
  </si>
  <si>
    <t>2026-03-26 23:43</t>
  </si>
  <si>
    <t>2026-01-12 00:56</t>
  </si>
  <si>
    <t>2026-03-01 01:00</t>
  </si>
  <si>
    <t>3. Vehicles with Repeated Fuel-Drop Incidents</t>
  </si>
  <si>
    <t>Drop_Count</t>
  </si>
  <si>
    <t>4. Potential Fuel Theft / Leakage Cases (Large drops + Remote or deep night)</t>
  </si>
  <si>
    <t>Remote Route Fuel Drops (Highest Risk)</t>
  </si>
  <si>
    <t>5. Recommended Actions to Reduce Fuel Losses</t>
  </si>
  <si>
    <t>1. Immediately investigate the 3 Remote Route Fuel Drops (VH-001 ×2, VH-007) – high theft probability.</t>
  </si>
  <si>
    <t>2. Flag all night-time (22:00–06:00) Fuel Drops &gt;30 L for security review and driver interview.</t>
  </si>
  <si>
    <t>3. Install secondary fuel-level sensors or lockable fuel caps on vehicles with highest Drop_Count.</t>
  </si>
  <si>
    <t>4. Cross-match Fuel Drop timestamps with GPS / trip logs to confirm stationary or off-route status.</t>
  </si>
  <si>
    <t>5. Set automated alerts for any Fuel Drop &gt;25 L outside authorized fuel stations.</t>
  </si>
  <si>
    <t xml:space="preserve">Total Fuel Drop events </t>
  </si>
  <si>
    <t>Fuel Drops &gt;40 L</t>
  </si>
  <si>
    <t>Fuel Drops on Remote Route</t>
  </si>
  <si>
    <t xml:space="preserve">Fuel Drops at unusual hours (22:00–06:00): </t>
  </si>
  <si>
    <t>HOUR</t>
  </si>
  <si>
    <t xml:space="preserve"> Implement real-time idle-time alerts and driver scorecards; target average idle &lt;2.0 hrs.</t>
  </si>
  <si>
    <t xml:space="preserve"> Conduct route audits and geo-fence enforcement for vehicles with compliance &lt;90%.</t>
  </si>
  <si>
    <t xml:space="preserve"> Schedule efficiency diagnostics / maintenance for bottom-quartile fuel-efficiency vehicles.</t>
  </si>
  <si>
    <t xml:space="preserve"> Cross-reference daily fuel events vs. reported consumption to detect variance early.</t>
  </si>
  <si>
    <t xml:space="preserve"> Introduce mandatory post-trip fuel and idle data validation in the IoT pipeline.</t>
  </si>
  <si>
    <t>Train drivers on eco-driving and strict route adherence.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</si>
</sst>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4"/>
      <color theme="1"/>
      <name val="Arial Rounded MT Bold"/>
      <family val="2"/>
    </font>
    <font>
      <sz val="12"/>
      <color theme="1"/>
      <name val="Calibri"/>
      <family val="2"/>
      <scheme val="minor"/>
    </font>
    <font>
      <b/>
      <sz val="16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2E75B6"/>
      <name val="Arial"/>
      <family val="2"/>
    </font>
    <font>
      <b/>
      <sz val="14"/>
      <color rgb="FF1F4E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F4E79"/>
      </patternFill>
    </fill>
    <fill>
      <patternFill patternType="solid">
        <fgColor rgb="FFFF6B6B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22" fontId="0" fillId="0" borderId="0" xfId="0" applyNumberForma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4" borderId="0" xfId="0" applyFont="1" applyFill="1"/>
    <xf numFmtId="0" fontId="8" fillId="5" borderId="1" xfId="0" applyFont="1" applyFill="1" applyBorder="1" applyAlignment="1">
      <alignment horizontal="center" wrapText="1"/>
    </xf>
    <xf numFmtId="0" fontId="10" fillId="0" borderId="0" xfId="0" applyFont="1"/>
    <xf numFmtId="0" fontId="9" fillId="0" borderId="1" xfId="0" applyFont="1" applyBorder="1"/>
    <xf numFmtId="0" fontId="9" fillId="0" borderId="0" xfId="0" applyFont="1" applyFill="1" applyBorder="1"/>
    <xf numFmtId="0" fontId="9" fillId="0" borderId="0" xfId="0" applyFont="1"/>
    <xf numFmtId="0" fontId="11" fillId="0" borderId="0" xfId="0" applyFont="1"/>
    <xf numFmtId="0" fontId="9" fillId="6" borderId="1" xfId="0" applyFont="1" applyFill="1" applyBorder="1"/>
    <xf numFmtId="0" fontId="1" fillId="2" borderId="8" xfId="0" applyFont="1" applyFill="1" applyBorder="1" applyAlignment="1">
      <alignment horizontal="center" vertical="top"/>
    </xf>
    <xf numFmtId="0" fontId="0" fillId="2" borderId="0" xfId="0" applyFill="1"/>
    <xf numFmtId="22" fontId="0" fillId="0" borderId="0" xfId="0" applyNumberFormat="1" applyAlignment="1">
      <alignment vertical="center" wrapText="1"/>
    </xf>
    <xf numFmtId="0" fontId="0" fillId="4" borderId="0" xfId="0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top" wrapText="1"/>
    </xf>
    <xf numFmtId="0" fontId="0" fillId="2" borderId="0" xfId="0" applyFill="1" applyAlignment="1">
      <alignment horizontal="left" vertical="top" wrapText="1"/>
    </xf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8" fillId="5" borderId="2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8" fillId="5" borderId="4" xfId="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8" fillId="5" borderId="6" xfId="0" applyFont="1" applyFill="1" applyBorder="1" applyAlignment="1">
      <alignment horizontal="center" wrapText="1"/>
    </xf>
    <xf numFmtId="0" fontId="8" fillId="5" borderId="7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" refreshedDate="46241.047284143518" createdVersion="8" refreshedVersion="8" minRefreshableVersion="3" recordCount="804" xr:uid="{115A9E2F-419A-4B0B-82BB-23D1FE773B67}">
  <cacheSource type="worksheet">
    <worksheetSource ref="A1:I805" sheet="Fleet_Data"/>
  </cacheSource>
  <cacheFields count="9">
    <cacheField name="Vehicle_ID" numFmtId="0">
      <sharedItems count="20">
        <s v="VH-004"/>
        <s v="VH-003"/>
        <s v="VH-018"/>
        <s v="VH-014"/>
        <s v="VH-012"/>
        <s v="VH-008"/>
        <s v="VH-002"/>
        <s v="VH-011"/>
        <s v="VH-005"/>
        <s v="VH-001"/>
        <s v="VH-010"/>
        <s v="VH-017"/>
        <s v="VH-007"/>
        <s v="VH-015"/>
        <s v="VH-006"/>
        <s v="VH-013"/>
        <s v="VH-019"/>
        <s v="VH-016"/>
        <s v="VH-020"/>
        <s v="VH-009"/>
      </sharedItems>
    </cacheField>
    <cacheField name="Driver_Name" numFmtId="0">
      <sharedItems count="20">
        <s v="Driver D"/>
        <s v="Driver C"/>
        <s v="Driver R"/>
        <s v="Driver N"/>
        <s v="Driver L"/>
        <s v="Driver H"/>
        <s v="Driver B"/>
        <s v="Driver K"/>
        <s v="Driver E"/>
        <s v="Driver A"/>
        <s v="Driver J"/>
        <s v="Driver Q"/>
        <s v="Driver G"/>
        <s v="Driver O"/>
        <s v="Driver F"/>
        <s v="Driver M"/>
        <s v="Driver S"/>
        <s v="Driver P"/>
        <s v="Driver T"/>
        <s v="Driver I"/>
      </sharedItems>
    </cacheField>
    <cacheField name="Date" numFmtId="164">
      <sharedItems containsSemiMixedTypes="0" containsNonDate="0" containsDate="1" containsString="0" minDate="2026-01-01T00:00:00" maxDate="2026-04-01T00:00:00"/>
    </cacheField>
    <cacheField name="Distance_KM" numFmtId="0">
      <sharedItems containsSemiMixedTypes="0" containsString="0" containsNumber="1" minValue="80.3" maxValue="449.9" count="735">
        <n v="354.4"/>
        <n v="236.1"/>
        <n v="161.6"/>
        <n v="182.8"/>
        <n v="177.9"/>
        <n v="386.9"/>
        <n v="444.5"/>
        <n v="217"/>
        <n v="251"/>
        <n v="384.1"/>
        <n v="322.5"/>
        <n v="177.2"/>
        <n v="262.60000000000002"/>
        <n v="103.5"/>
        <n v="346.7"/>
        <n v="138.5"/>
        <n v="402.1"/>
        <n v="419.8"/>
        <n v="101.4"/>
        <n v="127.5"/>
        <n v="359.4"/>
        <n v="247"/>
        <n v="106.3"/>
        <n v="327.5"/>
        <n v="114.9"/>
        <n v="229"/>
        <n v="147.9"/>
        <n v="98.7"/>
        <n v="259.7"/>
        <n v="422.8"/>
        <n v="352.2"/>
        <n v="101"/>
        <n v="124.4"/>
        <n v="273.39999999999998"/>
        <n v="197"/>
        <n v="278.89999999999998"/>
        <n v="138.4"/>
        <n v="334.4"/>
        <n v="236.7"/>
        <n v="341.1"/>
        <n v="134.80000000000001"/>
        <n v="118"/>
        <n v="441.2"/>
        <n v="399.7"/>
        <n v="153.80000000000001"/>
        <n v="183.1"/>
        <n v="427.5"/>
        <n v="300.7"/>
        <n v="150.30000000000001"/>
        <n v="196.1"/>
        <n v="338"/>
        <n v="191.4"/>
        <n v="199.2"/>
        <n v="111.4"/>
        <n v="194.9"/>
        <n v="233.3"/>
        <n v="368"/>
        <n v="129.30000000000001"/>
        <n v="237.9"/>
        <n v="390.7"/>
        <n v="166.8"/>
        <n v="103.8"/>
        <n v="430"/>
        <n v="395.8"/>
        <n v="223.9"/>
        <n v="90"/>
        <n v="98.6"/>
        <n v="173.3"/>
        <n v="94.9"/>
        <n v="122.3"/>
        <n v="367.8"/>
        <n v="428.3"/>
        <n v="374.6"/>
        <n v="394.3"/>
        <n v="145.19999999999999"/>
        <n v="199.3"/>
        <n v="305.8"/>
        <n v="183.5"/>
        <n v="260.8"/>
        <n v="229.6"/>
        <n v="202.4"/>
        <n v="354.9"/>
        <n v="300.8"/>
        <n v="126.8"/>
        <n v="402.9"/>
        <n v="122.2"/>
        <n v="447.7"/>
        <n v="398.3"/>
        <n v="158.1"/>
        <n v="335.1"/>
        <n v="334.3"/>
        <n v="385.9"/>
        <n v="126"/>
        <n v="94.7"/>
        <n v="431.8"/>
        <n v="272"/>
        <n v="208.7"/>
        <n v="429.7"/>
        <n v="400"/>
        <n v="359.9"/>
        <n v="405.9"/>
        <n v="231"/>
        <n v="425.1"/>
        <n v="284"/>
        <n v="425.7"/>
        <n v="261.2"/>
        <n v="425.2"/>
        <n v="197.7"/>
        <n v="437"/>
        <n v="274.60000000000002"/>
        <n v="369.2"/>
        <n v="433"/>
        <n v="313.5"/>
        <n v="141.6"/>
        <n v="133.9"/>
        <n v="332.8"/>
        <n v="83.5"/>
        <n v="316.39999999999998"/>
        <n v="167.8"/>
        <n v="83"/>
        <n v="304.60000000000002"/>
        <n v="116"/>
        <n v="416.6"/>
        <n v="265.7"/>
        <n v="253.3"/>
        <n v="215.3"/>
        <n v="221"/>
        <n v="418.6"/>
        <n v="131.69999999999999"/>
        <n v="223.8"/>
        <n v="116.6"/>
        <n v="431.7"/>
        <n v="227.3"/>
        <n v="159.9"/>
        <n v="445.4"/>
        <n v="372.3"/>
        <n v="122.1"/>
        <n v="429.8"/>
        <n v="393.5"/>
        <n v="104.3"/>
        <n v="267.10000000000002"/>
        <n v="239.1"/>
        <n v="195.6"/>
        <n v="115.7"/>
        <n v="125.2"/>
        <n v="392.8"/>
        <n v="329.7"/>
        <n v="209.9"/>
        <n v="356.1"/>
        <n v="300.60000000000002"/>
        <n v="275"/>
        <n v="362.7"/>
        <n v="340.4"/>
        <n v="86.9"/>
        <n v="122.6"/>
        <n v="392.5"/>
        <n v="203.2"/>
        <n v="349.1"/>
        <n v="136.6"/>
        <n v="332"/>
        <n v="105.3"/>
        <n v="250.8"/>
        <n v="299.8"/>
        <n v="303.89999999999998"/>
        <n v="266.7"/>
        <n v="214.6"/>
        <n v="202"/>
        <n v="203.3"/>
        <n v="300.2"/>
        <n v="340"/>
        <n v="214.2"/>
        <n v="189.4"/>
        <n v="301"/>
        <n v="346.2"/>
        <n v="216.1"/>
        <n v="234.9"/>
        <n v="285.2"/>
        <n v="415"/>
        <n v="99.7"/>
        <n v="204.1"/>
        <n v="307.7"/>
        <n v="236.6"/>
        <n v="103.2"/>
        <n v="238.8"/>
        <n v="105"/>
        <n v="173.9"/>
        <n v="352"/>
        <n v="257.10000000000002"/>
        <n v="196.8"/>
        <n v="212.1"/>
        <n v="355"/>
        <n v="376.4"/>
        <n v="324.5"/>
        <n v="348.9"/>
        <n v="328.3"/>
        <n v="369.1"/>
        <n v="136.80000000000001"/>
        <n v="418"/>
        <n v="125.4"/>
        <n v="208.5"/>
        <n v="268.2"/>
        <n v="291.7"/>
        <n v="449.9"/>
        <n v="107.4"/>
        <n v="364.1"/>
        <n v="139.9"/>
        <n v="126.3"/>
        <n v="311.10000000000002"/>
        <n v="365.3"/>
        <n v="317.5"/>
        <n v="242.7"/>
        <n v="128.4"/>
        <n v="132.1"/>
        <n v="425.5"/>
        <n v="264"/>
        <n v="129.6"/>
        <n v="152"/>
        <n v="306.10000000000002"/>
        <n v="153.69999999999999"/>
        <n v="249.1"/>
        <n v="353.5"/>
        <n v="202.6"/>
        <n v="255.6"/>
        <n v="312.7"/>
        <n v="120.7"/>
        <n v="420.6"/>
        <n v="449.3"/>
        <n v="330.1"/>
        <n v="286.5"/>
        <n v="257.5"/>
        <n v="411.4"/>
        <n v="421.9"/>
        <n v="180.5"/>
        <n v="316"/>
        <n v="441.8"/>
        <n v="185.6"/>
        <n v="234.6"/>
        <n v="426.5"/>
        <n v="185.3"/>
        <n v="180.9"/>
        <n v="372.6"/>
        <n v="270.7"/>
        <n v="176.5"/>
        <n v="321.89999999999998"/>
        <n v="335.4"/>
        <n v="136.69999999999999"/>
        <n v="385.5"/>
        <n v="419.4"/>
        <n v="243.5"/>
        <n v="128.80000000000001"/>
        <n v="174.1"/>
        <n v="447.8"/>
        <n v="442"/>
        <n v="109.7"/>
        <n v="225.4"/>
        <n v="346.1"/>
        <n v="426.8"/>
        <n v="156.30000000000001"/>
        <n v="279.7"/>
        <n v="293.7"/>
        <n v="233"/>
        <n v="439.7"/>
        <n v="148"/>
        <n v="288.10000000000002"/>
        <n v="109.3"/>
        <n v="94.6"/>
        <n v="434.1"/>
        <n v="303.60000000000002"/>
        <n v="212.9"/>
        <n v="418.3"/>
        <n v="294.3"/>
        <n v="283.7"/>
        <n v="142.19999999999999"/>
        <n v="92.5"/>
        <n v="341.7"/>
        <n v="323.89999999999998"/>
        <n v="441.7"/>
        <n v="274"/>
        <n v="218"/>
        <n v="446.9"/>
        <n v="420.1"/>
        <n v="288.5"/>
        <n v="423.7"/>
        <n v="372.5"/>
        <n v="164.4"/>
        <n v="189.3"/>
        <n v="197.2"/>
        <n v="112.3"/>
        <n v="300.89999999999998"/>
        <n v="414.9"/>
        <n v="179.3"/>
        <n v="173.1"/>
        <n v="202.9"/>
        <n v="191.2"/>
        <n v="351.9"/>
        <n v="242.2"/>
        <n v="173.5"/>
        <n v="228.3"/>
        <n v="411.3"/>
        <n v="319.39999999999998"/>
        <n v="83.9"/>
        <n v="265.2"/>
        <n v="387.6"/>
        <n v="256.2"/>
        <n v="394.2"/>
        <n v="284.2"/>
        <n v="317"/>
        <n v="156.1"/>
        <n v="306.2"/>
        <n v="298.39999999999998"/>
        <n v="223.7"/>
        <n v="141.69999999999999"/>
        <n v="130.5"/>
        <n v="141.9"/>
        <n v="366.8"/>
        <n v="117.9"/>
        <n v="399"/>
        <n v="209.7"/>
        <n v="290.89999999999998"/>
        <n v="178.9"/>
        <n v="447.2"/>
        <n v="225.3"/>
        <n v="270.8"/>
        <n v="401.5"/>
        <n v="227.2"/>
        <n v="293.8"/>
        <n v="311.7"/>
        <n v="448.4"/>
        <n v="322.2"/>
        <n v="244.7"/>
        <n v="106.2"/>
        <n v="221.6"/>
        <n v="140.69999999999999"/>
        <n v="112.1"/>
        <n v="182.5"/>
        <n v="271.60000000000002"/>
        <n v="222.8"/>
        <n v="86.2"/>
        <n v="186"/>
        <n v="307.89999999999998"/>
        <n v="297"/>
        <n v="170.5"/>
        <n v="84.7"/>
        <n v="217.6"/>
        <n v="273.8"/>
        <n v="398"/>
        <n v="354.1"/>
        <n v="146.19999999999999"/>
        <n v="385.6"/>
        <n v="105.5"/>
        <n v="154.19999999999999"/>
        <n v="351"/>
        <n v="208.2"/>
        <n v="155.9"/>
        <n v="96.2"/>
        <n v="115.4"/>
        <n v="187.9"/>
        <n v="180.6"/>
        <n v="230.4"/>
        <n v="138.30000000000001"/>
        <n v="343.1"/>
        <n v="432.3"/>
        <n v="84.4"/>
        <n v="296.89999999999998"/>
        <n v="384"/>
        <n v="102.6"/>
        <n v="207.3"/>
        <n v="117"/>
        <n v="211.3"/>
        <n v="90.4"/>
        <n v="194.3"/>
        <n v="202.7"/>
        <n v="88.1"/>
        <n v="340.7"/>
        <n v="373"/>
        <n v="162.6"/>
        <n v="431.1"/>
        <n v="316.7"/>
        <n v="315.39999999999998"/>
        <n v="105.1"/>
        <n v="407.3"/>
        <n v="360.6"/>
        <n v="206.5"/>
        <n v="138.1"/>
        <n v="324.39999999999998"/>
        <n v="213.5"/>
        <n v="188"/>
        <n v="252.1"/>
        <n v="327.2"/>
        <n v="437.3"/>
        <n v="291.39999999999998"/>
        <n v="134.69999999999999"/>
        <n v="397"/>
        <n v="121.6"/>
        <n v="401"/>
        <n v="93.9"/>
        <n v="167.9"/>
        <n v="183.7"/>
        <n v="366.4"/>
        <n v="361"/>
        <n v="368.8"/>
        <n v="92.2"/>
        <n v="315.10000000000002"/>
        <n v="223"/>
        <n v="321.10000000000002"/>
        <n v="376.3"/>
        <n v="296.3"/>
        <n v="333.2"/>
        <n v="229.5"/>
        <n v="229.7"/>
        <n v="370.4"/>
        <n v="188.7"/>
        <n v="211.5"/>
        <n v="254.1"/>
        <n v="221.2"/>
        <n v="410.4"/>
        <n v="314.8"/>
        <n v="307.39999999999998"/>
        <n v="431.5"/>
        <n v="336.6"/>
        <n v="190.3"/>
        <n v="448.6"/>
        <n v="164.5"/>
        <n v="373.1"/>
        <n v="389.4"/>
        <n v="310.39999999999998"/>
        <n v="347.7"/>
        <n v="98.5"/>
        <n v="115.1"/>
        <n v="433.4"/>
        <n v="436.1"/>
        <n v="129"/>
        <n v="331"/>
        <n v="420.5"/>
        <n v="274.2"/>
        <n v="273.5"/>
        <n v="390.4"/>
        <n v="395.2"/>
        <n v="267.60000000000002"/>
        <n v="112.6"/>
        <n v="93.3"/>
        <n v="214.4"/>
        <n v="345.2"/>
        <n v="387.1"/>
        <n v="132"/>
        <n v="159.80000000000001"/>
        <n v="365.7"/>
        <n v="426.1"/>
        <n v="223.3"/>
        <n v="391.9"/>
        <n v="207.8"/>
        <n v="361.5"/>
        <n v="404.7"/>
        <n v="178.8"/>
        <n v="358.8"/>
        <n v="354.7"/>
        <n v="234.1"/>
        <n v="367.2"/>
        <n v="124.2"/>
        <n v="202.3"/>
        <n v="272.60000000000002"/>
        <n v="202.8"/>
        <n v="418.9"/>
        <n v="377"/>
        <n v="439.5"/>
        <n v="237"/>
        <n v="249.9"/>
        <n v="329.1"/>
        <n v="423.4"/>
        <n v="226.2"/>
        <n v="435.2"/>
        <n v="125.6"/>
        <n v="232.7"/>
        <n v="122.4"/>
        <n v="318.5"/>
        <n v="246.7"/>
        <n v="142.4"/>
        <n v="251.3"/>
        <n v="409.8"/>
        <n v="91.5"/>
        <n v="254.7"/>
        <n v="251.9"/>
        <n v="141.4"/>
        <n v="156.5"/>
        <n v="199.9"/>
        <n v="144.30000000000001"/>
        <n v="230.2"/>
        <n v="141.30000000000001"/>
        <n v="324.60000000000002"/>
        <n v="139.69999999999999"/>
        <n v="269.7"/>
        <n v="438.6"/>
        <n v="400.9"/>
        <n v="324.10000000000002"/>
        <n v="219.9"/>
        <n v="413.6"/>
        <n v="386.2"/>
        <n v="276"/>
        <n v="237.4"/>
        <n v="149.9"/>
        <n v="377.6"/>
        <n v="288.89999999999998"/>
        <n v="146.1"/>
        <n v="396.3"/>
        <n v="268.10000000000002"/>
        <n v="384.6"/>
        <n v="94"/>
        <n v="262.89999999999998"/>
        <n v="338.4"/>
        <n v="448.8"/>
        <n v="436.3"/>
        <n v="106.8"/>
        <n v="336.9"/>
        <n v="250.5"/>
        <n v="339.4"/>
        <n v="186.3"/>
        <n v="210.8"/>
        <n v="433.6"/>
        <n v="412.3"/>
        <n v="225.7"/>
        <n v="329.4"/>
        <n v="167.7"/>
        <n v="358.3"/>
        <n v="164.6"/>
        <n v="376"/>
        <n v="346.6"/>
        <n v="381.1"/>
        <n v="286.3"/>
        <n v="293.39999999999998"/>
        <n v="409.2"/>
        <n v="313.60000000000002"/>
        <n v="321.60000000000002"/>
        <n v="272.7"/>
        <n v="357.4"/>
        <n v="89.8"/>
        <n v="424.7"/>
        <n v="90.6"/>
        <n v="283"/>
        <n v="273.7"/>
        <n v="193.9"/>
        <n v="186.1"/>
        <n v="375.2"/>
        <n v="172.5"/>
        <n v="362.9"/>
        <n v="149.6"/>
        <n v="179.6"/>
        <n v="235.5"/>
        <n v="392.1"/>
        <n v="382.4"/>
        <n v="138.69999999999999"/>
        <n v="408.4"/>
        <n v="373.9"/>
        <n v="102.2"/>
        <n v="360"/>
        <n v="412.5"/>
        <n v="281.10000000000002"/>
        <n v="280.39999999999998"/>
        <n v="367.1"/>
        <n v="306.8"/>
        <n v="261.3"/>
        <n v="424.2"/>
        <n v="355.1"/>
        <n v="388.7"/>
        <n v="151.5"/>
        <n v="293.3"/>
        <n v="228.6"/>
        <n v="392.6"/>
        <n v="363.3"/>
        <n v="300.39999999999998"/>
        <n v="88"/>
        <n v="137.19999999999999"/>
        <n v="174.8"/>
        <n v="260.7"/>
        <n v="109"/>
        <n v="356.6"/>
        <n v="289"/>
        <n v="358.6"/>
        <n v="110.5"/>
        <n v="128.19999999999999"/>
        <n v="448.9"/>
        <n v="142.6"/>
        <n v="333.6"/>
        <n v="401.4"/>
        <n v="353.8"/>
        <n v="338.5"/>
        <n v="308.60000000000002"/>
        <n v="87.1"/>
        <n v="259.3"/>
        <n v="171.5"/>
        <n v="311.3"/>
        <n v="429.3"/>
        <n v="363.2"/>
        <n v="368.3"/>
        <n v="165.4"/>
        <n v="218.4"/>
        <n v="422.4"/>
        <n v="346.5"/>
        <n v="271.89999999999998"/>
        <n v="187.7"/>
        <n v="335.3"/>
        <n v="427"/>
        <n v="411.7"/>
        <n v="113.7"/>
        <n v="431.4"/>
        <n v="311.8"/>
        <n v="264.10000000000002"/>
        <n v="231.8"/>
        <n v="98.1"/>
        <n v="190.4"/>
        <n v="114.5"/>
        <n v="188.3"/>
        <n v="157.30000000000001"/>
        <n v="305.3"/>
        <n v="349.8"/>
        <n v="88.9"/>
        <n v="203.5"/>
        <n v="375"/>
        <n v="370.1"/>
        <n v="443.9"/>
        <n v="342.6"/>
        <n v="274.3"/>
        <n v="89.2"/>
        <n v="366.9"/>
        <n v="122.9"/>
        <n v="363.5"/>
        <n v="434.6"/>
        <n v="170.6"/>
        <n v="414.2"/>
        <n v="312.89999999999998"/>
        <n v="440.3"/>
        <n v="248.6"/>
        <n v="175.5"/>
        <n v="91.2"/>
        <n v="292.60000000000002"/>
        <n v="250.6"/>
        <n v="206.1"/>
        <n v="325.2"/>
        <n v="116.1"/>
        <n v="201.1"/>
        <n v="291"/>
        <n v="80.3"/>
        <n v="339.8"/>
        <n v="144.19999999999999"/>
        <n v="84.3"/>
        <n v="130.80000000000001"/>
        <n v="383.4"/>
        <n v="294.7"/>
        <n v="170.7"/>
        <n v="351.5"/>
        <n v="349"/>
        <n v="90.1"/>
        <n v="184"/>
        <n v="245.3"/>
        <n v="444.1"/>
        <n v="168"/>
        <n v="177.8"/>
        <n v="220.5"/>
        <n v="221.3"/>
        <n v="305.89999999999998"/>
        <n v="282.60000000000002"/>
        <n v="161.19999999999999"/>
        <n v="410.8"/>
        <n v="219.1"/>
        <n v="252.8"/>
        <n v="145.80000000000001"/>
        <n v="133.19999999999999"/>
        <n v="107"/>
        <n v="325.89999999999998"/>
        <n v="241.3"/>
        <n v="289.89999999999998"/>
        <n v="277.8"/>
        <n v="261"/>
        <n v="93.7"/>
        <n v="427.8"/>
        <n v="314.10000000000002"/>
        <n v="382.6"/>
        <n v="228.7"/>
        <n v="299.39999999999998"/>
        <n v="141.1"/>
        <n v="367.7"/>
        <n v="234"/>
        <n v="232.5"/>
        <n v="312.10000000000002"/>
        <n v="309"/>
        <n v="99.6"/>
        <n v="318.60000000000002"/>
        <n v="118.6"/>
        <n v="411.2"/>
        <n v="368.2"/>
        <n v="254.3"/>
        <n v="218.2"/>
        <n v="336.1"/>
        <n v="408"/>
        <n v="232.3"/>
        <n v="350.1"/>
        <n v="418.1"/>
        <n v="237.5"/>
        <n v="336.5"/>
        <n v="148.4"/>
        <n v="92.1"/>
        <n v="270.5"/>
        <n v="168.3"/>
        <n v="412.2"/>
        <n v="274.89999999999998"/>
        <n v="410"/>
        <n v="182.1"/>
        <n v="438.7"/>
        <n v="150"/>
        <n v="299.5"/>
        <n v="372"/>
        <n v="248.7"/>
        <n v="341.6"/>
        <n v="191.6"/>
        <n v="81.599999999999994"/>
        <n v="326.7"/>
        <n v="131.6"/>
        <n v="200.8"/>
        <n v="110.9"/>
        <n v="303.2"/>
        <n v="222.9"/>
        <n v="349.3"/>
        <n v="104.5"/>
        <n v="144.69999999999999"/>
        <n v="261.5"/>
        <n v="372.8"/>
        <n v="146.4"/>
        <n v="355.9"/>
        <n v="269.60000000000002"/>
        <n v="130.1"/>
        <n v="358.5"/>
        <n v="277.7"/>
        <n v="205.9"/>
        <n v="335.2"/>
        <n v="250"/>
        <n v="220"/>
      </sharedItems>
    </cacheField>
    <cacheField name="Fuel_Consumed_L" numFmtId="0">
      <sharedItems containsSemiMixedTypes="0" containsString="0" containsNumber="1" minValue="15" maxValue="155.19999999999999"/>
    </cacheField>
    <cacheField name="Idle_Time_Hrs" numFmtId="0">
      <sharedItems containsSemiMixedTypes="0" containsString="0" containsNumber="1" minValue="0.2" maxValue="12"/>
    </cacheField>
    <cacheField name="Trips" numFmtId="0">
      <sharedItems containsSemiMixedTypes="0" containsString="0" containsNumber="1" containsInteger="1" minValue="1" maxValue="8"/>
    </cacheField>
    <cacheField name="Average_Speed_KMH" numFmtId="0">
      <sharedItems containsSemiMixedTypes="0" containsString="0" containsNumber="1" minValue="20" maxValue="75"/>
    </cacheField>
    <cacheField name="Route_Compliance_Pct" numFmtId="0">
      <sharedItems containsSemiMixedTypes="0" containsString="0" containsNumber="1" minValue="4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">
  <r>
    <x v="0"/>
    <x v="0"/>
    <d v="2026-01-04T00:00:00"/>
    <x v="0"/>
    <n v="102.4"/>
    <n v="0.8"/>
    <n v="2"/>
    <n v="60.5"/>
    <n v="98.4"/>
  </r>
  <r>
    <x v="1"/>
    <x v="1"/>
    <d v="2026-03-17T00:00:00"/>
    <x v="1"/>
    <n v="82"/>
    <n v="1.1000000000000001"/>
    <n v="1"/>
    <n v="55.3"/>
    <n v="95.7"/>
  </r>
  <r>
    <x v="2"/>
    <x v="2"/>
    <d v="2026-02-23T00:00:00"/>
    <x v="2"/>
    <n v="36.799999999999997"/>
    <n v="3.7"/>
    <n v="1"/>
    <n v="64.099999999999994"/>
    <n v="87.4"/>
  </r>
  <r>
    <x v="3"/>
    <x v="3"/>
    <d v="2026-02-13T00:00:00"/>
    <x v="3"/>
    <n v="54.1"/>
    <n v="3.5"/>
    <n v="2"/>
    <n v="34.200000000000003"/>
    <n v="86.5"/>
  </r>
  <r>
    <x v="4"/>
    <x v="4"/>
    <d v="2026-03-19T00:00:00"/>
    <x v="4"/>
    <n v="61"/>
    <n v="2.2000000000000002"/>
    <n v="2"/>
    <n v="73.8"/>
    <n v="90.7"/>
  </r>
  <r>
    <x v="2"/>
    <x v="2"/>
    <d v="2026-02-07T00:00:00"/>
    <x v="5"/>
    <n v="86.6"/>
    <n v="3.9"/>
    <n v="4"/>
    <n v="61.7"/>
    <n v="85.7"/>
  </r>
  <r>
    <x v="5"/>
    <x v="5"/>
    <d v="2026-02-07T00:00:00"/>
    <x v="6"/>
    <n v="87"/>
    <n v="3.9"/>
    <n v="7"/>
    <n v="42.5"/>
    <n v="94.5"/>
  </r>
  <r>
    <x v="4"/>
    <x v="4"/>
    <d v="2026-01-21T00:00:00"/>
    <x v="7"/>
    <n v="64.5"/>
    <n v="1.3"/>
    <n v="2"/>
    <n v="57.4"/>
    <n v="87.6"/>
  </r>
  <r>
    <x v="5"/>
    <x v="5"/>
    <d v="2026-01-21T00:00:00"/>
    <x v="8"/>
    <n v="71.099999999999994"/>
    <n v="4.2"/>
    <n v="4"/>
    <n v="60.8"/>
    <n v="97.6"/>
  </r>
  <r>
    <x v="6"/>
    <x v="6"/>
    <d v="2026-01-30T00:00:00"/>
    <x v="9"/>
    <n v="77.2"/>
    <n v="1.9"/>
    <n v="2"/>
    <n v="39.5"/>
    <n v="99.1"/>
  </r>
  <r>
    <x v="7"/>
    <x v="7"/>
    <d v="2026-01-28T00:00:00"/>
    <x v="10"/>
    <n v="83.4"/>
    <n v="4.0999999999999996"/>
    <n v="8"/>
    <n v="36.4"/>
    <n v="87.1"/>
  </r>
  <r>
    <x v="2"/>
    <x v="2"/>
    <d v="2026-03-10T00:00:00"/>
    <x v="11"/>
    <n v="40.5"/>
    <n v="4.0999999999999996"/>
    <n v="7"/>
    <n v="46.3"/>
    <n v="100"/>
  </r>
  <r>
    <x v="8"/>
    <x v="8"/>
    <d v="2026-03-07T00:00:00"/>
    <x v="12"/>
    <n v="54.2"/>
    <n v="3.9"/>
    <n v="3"/>
    <n v="58.2"/>
    <n v="96.9"/>
  </r>
  <r>
    <x v="3"/>
    <x v="3"/>
    <d v="2026-03-18T00:00:00"/>
    <x v="13"/>
    <n v="27"/>
    <n v="4.5"/>
    <n v="5"/>
    <n v="73.7"/>
    <n v="97.9"/>
  </r>
  <r>
    <x v="9"/>
    <x v="9"/>
    <d v="2026-03-29T00:00:00"/>
    <x v="14"/>
    <n v="74.7"/>
    <n v="2.5"/>
    <n v="5"/>
    <n v="64.599999999999994"/>
    <n v="90.1"/>
  </r>
  <r>
    <x v="10"/>
    <x v="10"/>
    <d v="2026-02-25T00:00:00"/>
    <x v="15"/>
    <n v="49.3"/>
    <n v="3.3"/>
    <n v="5"/>
    <n v="73.7"/>
    <n v="96.4"/>
  </r>
  <r>
    <x v="11"/>
    <x v="11"/>
    <d v="2026-01-14T00:00:00"/>
    <x v="16"/>
    <n v="111.5"/>
    <n v="2.9"/>
    <n v="4"/>
    <n v="36.9"/>
    <n v="96.4"/>
  </r>
  <r>
    <x v="2"/>
    <x v="2"/>
    <d v="2026-03-09T00:00:00"/>
    <x v="17"/>
    <n v="65"/>
    <n v="2.2999999999999998"/>
    <n v="2"/>
    <n v="71.8"/>
    <n v="98.2"/>
  </r>
  <r>
    <x v="10"/>
    <x v="10"/>
    <d v="2026-01-31T00:00:00"/>
    <x v="18"/>
    <n v="19.600000000000001"/>
    <n v="4.3"/>
    <n v="2"/>
    <n v="62.9"/>
    <n v="97.2"/>
  </r>
  <r>
    <x v="2"/>
    <x v="2"/>
    <d v="2026-01-17T00:00:00"/>
    <x v="19"/>
    <n v="31.2"/>
    <n v="2.6"/>
    <n v="5"/>
    <n v="53.7"/>
    <n v="94.1"/>
  </r>
  <r>
    <x v="12"/>
    <x v="12"/>
    <d v="2026-03-11T00:00:00"/>
    <x v="20"/>
    <n v="77.099999999999994"/>
    <n v="3.3"/>
    <n v="7"/>
    <n v="74.8"/>
    <n v="94.7"/>
  </r>
  <r>
    <x v="13"/>
    <x v="13"/>
    <d v="2026-03-08T00:00:00"/>
    <x v="21"/>
    <n v="71.2"/>
    <n v="0.5"/>
    <n v="1"/>
    <n v="56.5"/>
    <n v="88.5"/>
  </r>
  <r>
    <x v="5"/>
    <x v="5"/>
    <d v="2026-01-01T00:00:00"/>
    <x v="22"/>
    <n v="23.6"/>
    <n v="1.2"/>
    <n v="1"/>
    <n v="68.7"/>
    <n v="86.1"/>
  </r>
  <r>
    <x v="5"/>
    <x v="5"/>
    <d v="2026-02-05T00:00:00"/>
    <x v="23"/>
    <n v="96.9"/>
    <n v="0.8"/>
    <n v="8"/>
    <n v="40.9"/>
    <n v="92.1"/>
  </r>
  <r>
    <x v="3"/>
    <x v="3"/>
    <d v="2026-01-25T00:00:00"/>
    <x v="24"/>
    <n v="25.1"/>
    <n v="1.7"/>
    <n v="7"/>
    <n v="51"/>
    <n v="95.9"/>
  </r>
  <r>
    <x v="0"/>
    <x v="0"/>
    <d v="2026-01-08T00:00:00"/>
    <x v="25"/>
    <n v="61.6"/>
    <n v="3.9"/>
    <n v="4"/>
    <n v="38.6"/>
    <n v="93"/>
  </r>
  <r>
    <x v="8"/>
    <x v="8"/>
    <d v="2026-02-24T00:00:00"/>
    <x v="26"/>
    <n v="36.5"/>
    <n v="4"/>
    <n v="2"/>
    <n v="49.9"/>
    <n v="97.9"/>
  </r>
  <r>
    <x v="2"/>
    <x v="2"/>
    <d v="2026-01-13T00:00:00"/>
    <x v="27"/>
    <n v="18"/>
    <n v="3.8"/>
    <n v="2"/>
    <n v="71.7"/>
    <n v="97.7"/>
  </r>
  <r>
    <x v="14"/>
    <x v="14"/>
    <d v="2026-02-22T00:00:00"/>
    <x v="28"/>
    <n v="76.900000000000006"/>
    <n v="1.9"/>
    <n v="1"/>
    <n v="37.4"/>
    <n v="85"/>
  </r>
  <r>
    <x v="15"/>
    <x v="15"/>
    <d v="2026-02-03T00:00:00"/>
    <x v="29"/>
    <n v="85.9"/>
    <n v="1.4"/>
    <n v="8"/>
    <n v="37"/>
    <n v="89.5"/>
  </r>
  <r>
    <x v="6"/>
    <x v="6"/>
    <d v="2026-03-16T00:00:00"/>
    <x v="30"/>
    <n v="118.8"/>
    <n v="1.5"/>
    <n v="1"/>
    <n v="56.3"/>
    <n v="92.5"/>
  </r>
  <r>
    <x v="11"/>
    <x v="11"/>
    <d v="2026-01-21T00:00:00"/>
    <x v="31"/>
    <n v="24.2"/>
    <n v="3.9"/>
    <n v="2"/>
    <n v="56.8"/>
    <n v="95.1"/>
  </r>
  <r>
    <x v="5"/>
    <x v="5"/>
    <d v="2026-02-21T00:00:00"/>
    <x v="32"/>
    <n v="23.9"/>
    <n v="1.3"/>
    <n v="1"/>
    <n v="57.9"/>
    <n v="91.3"/>
  </r>
  <r>
    <x v="16"/>
    <x v="16"/>
    <d v="2026-03-14T00:00:00"/>
    <x v="33"/>
    <n v="51.4"/>
    <n v="1.1000000000000001"/>
    <n v="6"/>
    <n v="40.700000000000003"/>
    <n v="90.9"/>
  </r>
  <r>
    <x v="10"/>
    <x v="10"/>
    <d v="2026-02-28T00:00:00"/>
    <x v="34"/>
    <n v="40.799999999999997"/>
    <n v="0.5"/>
    <n v="8"/>
    <n v="58"/>
    <n v="93.4"/>
  </r>
  <r>
    <x v="0"/>
    <x v="0"/>
    <d v="2026-01-10T00:00:00"/>
    <x v="35"/>
    <n v="66.900000000000006"/>
    <n v="0.8"/>
    <n v="6"/>
    <n v="69.599999999999994"/>
    <n v="98.2"/>
  </r>
  <r>
    <x v="4"/>
    <x v="4"/>
    <d v="2026-02-06T00:00:00"/>
    <x v="36"/>
    <n v="27.4"/>
    <n v="3.2"/>
    <n v="1"/>
    <n v="60.1"/>
    <n v="93.3"/>
  </r>
  <r>
    <x v="0"/>
    <x v="0"/>
    <d v="2026-01-18T00:00:00"/>
    <x v="4"/>
    <n v="34.200000000000003"/>
    <n v="3.4"/>
    <n v="3"/>
    <n v="42.3"/>
    <n v="94.1"/>
  </r>
  <r>
    <x v="7"/>
    <x v="7"/>
    <d v="2026-01-27T00:00:00"/>
    <x v="37"/>
    <n v="65.5"/>
    <n v="2.4"/>
    <n v="5"/>
    <n v="70.7"/>
    <n v="97.7"/>
  </r>
  <r>
    <x v="1"/>
    <x v="1"/>
    <d v="2026-03-23T00:00:00"/>
    <x v="38"/>
    <n v="66.7"/>
    <n v="0.2"/>
    <n v="3"/>
    <n v="58.7"/>
    <n v="88.9"/>
  </r>
  <r>
    <x v="13"/>
    <x v="13"/>
    <d v="2026-03-12T00:00:00"/>
    <x v="39"/>
    <n v="79.099999999999994"/>
    <n v="0.7"/>
    <n v="3"/>
    <n v="54.6"/>
    <n v="97.5"/>
  </r>
  <r>
    <x v="16"/>
    <x v="16"/>
    <d v="2026-03-12T00:00:00"/>
    <x v="40"/>
    <n v="42.9"/>
    <n v="1.5"/>
    <n v="1"/>
    <n v="70.5"/>
    <n v="88.2"/>
  </r>
  <r>
    <x v="5"/>
    <x v="5"/>
    <d v="2026-03-27T00:00:00"/>
    <x v="41"/>
    <n v="24.1"/>
    <n v="4"/>
    <n v="7"/>
    <n v="73.8"/>
    <n v="96.2"/>
  </r>
  <r>
    <x v="5"/>
    <x v="5"/>
    <d v="2026-01-21T00:00:00"/>
    <x v="42"/>
    <n v="88.4"/>
    <n v="4"/>
    <n v="1"/>
    <n v="38.1"/>
    <n v="98.9"/>
  </r>
  <r>
    <x v="3"/>
    <x v="3"/>
    <d v="2026-03-27T00:00:00"/>
    <x v="43"/>
    <n v="80.099999999999994"/>
    <n v="1.3"/>
    <n v="2"/>
    <n v="47.2"/>
    <n v="85.6"/>
  </r>
  <r>
    <x v="17"/>
    <x v="17"/>
    <d v="2026-01-29T00:00:00"/>
    <x v="44"/>
    <n v="29.1"/>
    <n v="1.7"/>
    <n v="4"/>
    <n v="40"/>
    <n v="94.9"/>
  </r>
  <r>
    <x v="15"/>
    <x v="15"/>
    <d v="2026-02-12T00:00:00"/>
    <x v="45"/>
    <n v="61.3"/>
    <n v="3.5"/>
    <n v="6"/>
    <n v="58.9"/>
    <n v="91"/>
  </r>
  <r>
    <x v="2"/>
    <x v="2"/>
    <d v="2026-02-12T00:00:00"/>
    <x v="46"/>
    <n v="137.4"/>
    <n v="4.4000000000000004"/>
    <n v="3"/>
    <n v="56.1"/>
    <n v="99.8"/>
  </r>
  <r>
    <x v="6"/>
    <x v="6"/>
    <d v="2026-01-14T00:00:00"/>
    <x v="47"/>
    <n v="80.5"/>
    <n v="3.6"/>
    <n v="7"/>
    <n v="57.3"/>
    <n v="92.7"/>
  </r>
  <r>
    <x v="15"/>
    <x v="15"/>
    <d v="2026-03-15T00:00:00"/>
    <x v="48"/>
    <n v="51.5"/>
    <n v="2.1"/>
    <n v="4"/>
    <n v="46.4"/>
    <n v="86"/>
  </r>
  <r>
    <x v="7"/>
    <x v="7"/>
    <d v="2026-03-21T00:00:00"/>
    <x v="49"/>
    <n v="38.5"/>
    <n v="3.3"/>
    <n v="5"/>
    <n v="52.8"/>
    <n v="95"/>
  </r>
  <r>
    <x v="7"/>
    <x v="7"/>
    <d v="2026-02-21T00:00:00"/>
    <x v="50"/>
    <n v="78.7"/>
    <n v="1"/>
    <n v="7"/>
    <n v="60.5"/>
    <n v="98.5"/>
  </r>
  <r>
    <x v="18"/>
    <x v="18"/>
    <d v="2026-03-14T00:00:00"/>
    <x v="51"/>
    <n v="44.7"/>
    <n v="0.2"/>
    <n v="5"/>
    <n v="39.5"/>
    <n v="96.8"/>
  </r>
  <r>
    <x v="18"/>
    <x v="18"/>
    <d v="2026-03-25T00:00:00"/>
    <x v="52"/>
    <n v="49.9"/>
    <n v="3.1"/>
    <n v="8"/>
    <n v="65.7"/>
    <n v="99.4"/>
  </r>
  <r>
    <x v="14"/>
    <x v="14"/>
    <d v="2026-03-26T00:00:00"/>
    <x v="53"/>
    <n v="26.6"/>
    <n v="2.9"/>
    <n v="6"/>
    <n v="34.200000000000003"/>
    <n v="99.3"/>
  </r>
  <r>
    <x v="5"/>
    <x v="5"/>
    <d v="2026-03-28T00:00:00"/>
    <x v="54"/>
    <n v="39.200000000000003"/>
    <n v="0.8"/>
    <n v="1"/>
    <n v="41"/>
    <n v="92.1"/>
  </r>
  <r>
    <x v="1"/>
    <x v="1"/>
    <d v="2026-02-28T00:00:00"/>
    <x v="55"/>
    <n v="51.8"/>
    <n v="1"/>
    <n v="7"/>
    <n v="52.2"/>
    <n v="88.7"/>
  </r>
  <r>
    <x v="9"/>
    <x v="9"/>
    <d v="2026-01-14T00:00:00"/>
    <x v="56"/>
    <n v="108.5"/>
    <n v="3.7"/>
    <n v="8"/>
    <n v="32.299999999999997"/>
    <n v="88.7"/>
  </r>
  <r>
    <x v="0"/>
    <x v="0"/>
    <d v="2026-02-28T00:00:00"/>
    <x v="57"/>
    <n v="31.9"/>
    <n v="2.5"/>
    <n v="6"/>
    <n v="72.8"/>
    <n v="98.4"/>
  </r>
  <r>
    <x v="18"/>
    <x v="18"/>
    <d v="2026-03-06T00:00:00"/>
    <x v="58"/>
    <n v="45.3"/>
    <n v="2.1"/>
    <n v="3"/>
    <n v="63.5"/>
    <n v="92.1"/>
  </r>
  <r>
    <x v="19"/>
    <x v="19"/>
    <d v="2026-02-01T00:00:00"/>
    <x v="59"/>
    <n v="110.1"/>
    <n v="3.5"/>
    <n v="8"/>
    <n v="58.2"/>
    <n v="89.1"/>
  </r>
  <r>
    <x v="1"/>
    <x v="1"/>
    <d v="2026-02-06T00:00:00"/>
    <x v="60"/>
    <n v="45"/>
    <n v="4"/>
    <n v="2"/>
    <n v="36.200000000000003"/>
    <n v="88.5"/>
  </r>
  <r>
    <x v="8"/>
    <x v="8"/>
    <d v="2026-01-28T00:00:00"/>
    <x v="61"/>
    <n v="26.6"/>
    <n v="2.5"/>
    <n v="7"/>
    <n v="32.799999999999997"/>
    <n v="97.5"/>
  </r>
  <r>
    <x v="15"/>
    <x v="15"/>
    <d v="2026-03-16T00:00:00"/>
    <x v="62"/>
    <n v="150.69999999999999"/>
    <n v="4"/>
    <n v="7"/>
    <n v="51.5"/>
    <n v="99.1"/>
  </r>
  <r>
    <x v="10"/>
    <x v="10"/>
    <d v="2026-02-19T00:00:00"/>
    <x v="63"/>
    <n v="73.599999999999994"/>
    <n v="2"/>
    <n v="4"/>
    <n v="52"/>
    <n v="89.1"/>
  </r>
  <r>
    <x v="17"/>
    <x v="17"/>
    <d v="2026-01-04T00:00:00"/>
    <x v="64"/>
    <n v="48.6"/>
    <n v="3.6"/>
    <n v="3"/>
    <n v="67.8"/>
    <n v="98.8"/>
  </r>
  <r>
    <x v="18"/>
    <x v="18"/>
    <d v="2026-03-10T00:00:00"/>
    <x v="65"/>
    <n v="23.3"/>
    <n v="2.6"/>
    <n v="1"/>
    <n v="33.799999999999997"/>
    <n v="91.4"/>
  </r>
  <r>
    <x v="13"/>
    <x v="13"/>
    <d v="2026-01-24T00:00:00"/>
    <x v="66"/>
    <n v="25.8"/>
    <n v="1.1000000000000001"/>
    <n v="6"/>
    <n v="45.2"/>
    <n v="98.2"/>
  </r>
  <r>
    <x v="19"/>
    <x v="19"/>
    <d v="2026-02-23T00:00:00"/>
    <x v="67"/>
    <n v="57.4"/>
    <n v="0.3"/>
    <n v="1"/>
    <n v="75"/>
    <n v="90.2"/>
  </r>
  <r>
    <x v="1"/>
    <x v="1"/>
    <d v="2026-03-25T00:00:00"/>
    <x v="68"/>
    <n v="32.9"/>
    <n v="1.3"/>
    <n v="1"/>
    <n v="58"/>
    <n v="88.6"/>
  </r>
  <r>
    <x v="17"/>
    <x v="17"/>
    <d v="2026-03-27T00:00:00"/>
    <x v="69"/>
    <n v="22.8"/>
    <n v="2.2000000000000002"/>
    <n v="5"/>
    <n v="64.5"/>
    <n v="87.5"/>
  </r>
  <r>
    <x v="18"/>
    <x v="18"/>
    <d v="2026-01-15T00:00:00"/>
    <x v="70"/>
    <n v="113.4"/>
    <n v="1.5"/>
    <n v="1"/>
    <n v="71.8"/>
    <n v="93.6"/>
  </r>
  <r>
    <x v="15"/>
    <x v="15"/>
    <d v="2026-02-20T00:00:00"/>
    <x v="71"/>
    <n v="128.4"/>
    <n v="2.7"/>
    <n v="4"/>
    <n v="34.6"/>
    <n v="96.6"/>
  </r>
  <r>
    <x v="18"/>
    <x v="18"/>
    <d v="2026-01-16T00:00:00"/>
    <x v="72"/>
    <n v="86.6"/>
    <n v="0.4"/>
    <n v="7"/>
    <n v="59.8"/>
    <n v="86"/>
  </r>
  <r>
    <x v="7"/>
    <x v="7"/>
    <d v="2026-01-02T00:00:00"/>
    <x v="73"/>
    <n v="78.5"/>
    <n v="0.7"/>
    <n v="6"/>
    <n v="58.6"/>
    <n v="97.4"/>
  </r>
  <r>
    <x v="8"/>
    <x v="8"/>
    <d v="2026-02-25T00:00:00"/>
    <x v="74"/>
    <n v="34.5"/>
    <n v="3"/>
    <n v="8"/>
    <n v="50.9"/>
    <n v="97.4"/>
  </r>
  <r>
    <x v="16"/>
    <x v="16"/>
    <d v="2026-02-04T00:00:00"/>
    <x v="75"/>
    <n v="57.6"/>
    <n v="4.2"/>
    <n v="5"/>
    <n v="69.7"/>
    <n v="88.7"/>
  </r>
  <r>
    <x v="13"/>
    <x v="13"/>
    <d v="2026-03-14T00:00:00"/>
    <x v="76"/>
    <n v="80"/>
    <n v="0.3"/>
    <n v="6"/>
    <n v="38.200000000000003"/>
    <n v="88.2"/>
  </r>
  <r>
    <x v="19"/>
    <x v="19"/>
    <d v="2026-02-13T00:00:00"/>
    <x v="77"/>
    <n v="41.6"/>
    <n v="4"/>
    <n v="1"/>
    <n v="53.2"/>
    <n v="87.9"/>
  </r>
  <r>
    <x v="5"/>
    <x v="5"/>
    <d v="2026-02-22T00:00:00"/>
    <x v="78"/>
    <n v="53.8"/>
    <n v="3.2"/>
    <n v="8"/>
    <n v="50.2"/>
    <n v="85.3"/>
  </r>
  <r>
    <x v="10"/>
    <x v="10"/>
    <d v="2026-01-29T00:00:00"/>
    <x v="79"/>
    <n v="66.400000000000006"/>
    <n v="3.1"/>
    <n v="6"/>
    <n v="51.3"/>
    <n v="93"/>
  </r>
  <r>
    <x v="3"/>
    <x v="3"/>
    <d v="2026-03-12T00:00:00"/>
    <x v="80"/>
    <n v="43.1"/>
    <n v="1.4"/>
    <n v="5"/>
    <n v="40.4"/>
    <n v="95.8"/>
  </r>
  <r>
    <x v="7"/>
    <x v="7"/>
    <d v="2026-01-16T00:00:00"/>
    <x v="81"/>
    <n v="66.099999999999994"/>
    <n v="3.2"/>
    <n v="4"/>
    <n v="39.700000000000003"/>
    <n v="92.3"/>
  </r>
  <r>
    <x v="16"/>
    <x v="16"/>
    <d v="2026-03-09T00:00:00"/>
    <x v="82"/>
    <n v="55.2"/>
    <n v="3.8"/>
    <n v="5"/>
    <n v="40.200000000000003"/>
    <n v="87.7"/>
  </r>
  <r>
    <x v="9"/>
    <x v="9"/>
    <d v="2026-03-10T00:00:00"/>
    <x v="83"/>
    <n v="43.4"/>
    <n v="0.4"/>
    <n v="5"/>
    <n v="61.4"/>
    <n v="86.9"/>
  </r>
  <r>
    <x v="17"/>
    <x v="17"/>
    <d v="2026-01-14T00:00:00"/>
    <x v="84"/>
    <n v="92.6"/>
    <n v="2.2000000000000002"/>
    <n v="8"/>
    <n v="45.3"/>
    <n v="99.5"/>
  </r>
  <r>
    <x v="19"/>
    <x v="19"/>
    <d v="2026-03-03T00:00:00"/>
    <x v="85"/>
    <n v="41.1"/>
    <n v="2.2999999999999998"/>
    <n v="1"/>
    <n v="36.799999999999997"/>
    <n v="97.2"/>
  </r>
  <r>
    <x v="10"/>
    <x v="10"/>
    <d v="2026-01-11T00:00:00"/>
    <x v="86"/>
    <n v="143.5"/>
    <n v="3.5"/>
    <n v="4"/>
    <n v="64.900000000000006"/>
    <n v="90.7"/>
  </r>
  <r>
    <x v="13"/>
    <x v="13"/>
    <d v="2026-02-08T00:00:00"/>
    <x v="87"/>
    <n v="72.8"/>
    <n v="1.5"/>
    <n v="1"/>
    <n v="57.4"/>
    <n v="96.1"/>
  </r>
  <r>
    <x v="12"/>
    <x v="12"/>
    <d v="2026-03-22T00:00:00"/>
    <x v="88"/>
    <n v="34.5"/>
    <n v="0.9"/>
    <n v="3"/>
    <n v="54.8"/>
    <n v="87.3"/>
  </r>
  <r>
    <x v="3"/>
    <x v="3"/>
    <d v="2026-02-27T00:00:00"/>
    <x v="89"/>
    <n v="82.4"/>
    <n v="0.3"/>
    <n v="5"/>
    <n v="61.8"/>
    <n v="95.5"/>
  </r>
  <r>
    <x v="13"/>
    <x v="13"/>
    <d v="2026-01-10T00:00:00"/>
    <x v="90"/>
    <n v="63.1"/>
    <n v="3.6"/>
    <n v="4"/>
    <n v="49.1"/>
    <n v="93.2"/>
  </r>
  <r>
    <x v="8"/>
    <x v="8"/>
    <d v="2026-02-04T00:00:00"/>
    <x v="91"/>
    <n v="128.9"/>
    <n v="0.9"/>
    <n v="5"/>
    <n v="56.8"/>
    <n v="97.4"/>
  </r>
  <r>
    <x v="10"/>
    <x v="10"/>
    <d v="2026-02-26T00:00:00"/>
    <x v="92"/>
    <n v="27"/>
    <n v="3.2"/>
    <n v="5"/>
    <n v="52.5"/>
    <n v="92.4"/>
  </r>
  <r>
    <x v="1"/>
    <x v="1"/>
    <d v="2026-03-18T00:00:00"/>
    <x v="93"/>
    <n v="23.9"/>
    <n v="1.6"/>
    <n v="5"/>
    <n v="31.2"/>
    <n v="88.4"/>
  </r>
  <r>
    <x v="16"/>
    <x v="16"/>
    <d v="2026-03-17T00:00:00"/>
    <x v="94"/>
    <n v="78.5"/>
    <n v="3.1"/>
    <n v="5"/>
    <n v="55.9"/>
    <n v="96.4"/>
  </r>
  <r>
    <x v="14"/>
    <x v="14"/>
    <d v="2026-03-02T00:00:00"/>
    <x v="95"/>
    <n v="68.099999999999994"/>
    <n v="1.4"/>
    <n v="7"/>
    <n v="58.6"/>
    <n v="92.4"/>
  </r>
  <r>
    <x v="1"/>
    <x v="1"/>
    <d v="2026-03-02T00:00:00"/>
    <x v="96"/>
    <n v="56.4"/>
    <n v="3.1"/>
    <n v="3"/>
    <n v="44.8"/>
    <n v="95.4"/>
  </r>
  <r>
    <x v="10"/>
    <x v="10"/>
    <d v="2026-03-26T00:00:00"/>
    <x v="97"/>
    <n v="86"/>
    <n v="2.6"/>
    <n v="8"/>
    <n v="34"/>
    <n v="88.8"/>
  </r>
  <r>
    <x v="0"/>
    <x v="0"/>
    <d v="2026-02-21T00:00:00"/>
    <x v="98"/>
    <n v="79.599999999999994"/>
    <n v="0.2"/>
    <n v="8"/>
    <n v="48.6"/>
    <n v="87.8"/>
  </r>
  <r>
    <x v="4"/>
    <x v="4"/>
    <d v="2026-03-21T00:00:00"/>
    <x v="99"/>
    <n v="80.2"/>
    <n v="3.5"/>
    <n v="4"/>
    <n v="42"/>
    <n v="87"/>
  </r>
  <r>
    <x v="10"/>
    <x v="10"/>
    <d v="2026-02-26T00:00:00"/>
    <x v="100"/>
    <n v="98.8"/>
    <n v="0.3"/>
    <n v="4"/>
    <n v="61.9"/>
    <n v="89.7"/>
  </r>
  <r>
    <x v="9"/>
    <x v="9"/>
    <d v="2026-03-12T00:00:00"/>
    <x v="101"/>
    <n v="67.8"/>
    <n v="3.8"/>
    <n v="2"/>
    <n v="50.8"/>
    <n v="86.8"/>
  </r>
  <r>
    <x v="8"/>
    <x v="8"/>
    <d v="2026-03-05T00:00:00"/>
    <x v="102"/>
    <n v="118.5"/>
    <n v="3.2"/>
    <n v="7"/>
    <n v="67.599999999999994"/>
    <n v="99.7"/>
  </r>
  <r>
    <x v="5"/>
    <x v="5"/>
    <d v="2026-02-28T00:00:00"/>
    <x v="103"/>
    <n v="74"/>
    <n v="4.2"/>
    <n v="3"/>
    <n v="68.900000000000006"/>
    <n v="89.1"/>
  </r>
  <r>
    <x v="3"/>
    <x v="3"/>
    <d v="2026-02-13T00:00:00"/>
    <x v="104"/>
    <n v="102.1"/>
    <n v="3.7"/>
    <n v="5"/>
    <n v="62.7"/>
    <n v="97.6"/>
  </r>
  <r>
    <x v="16"/>
    <x v="16"/>
    <d v="2026-03-26T00:00:00"/>
    <x v="105"/>
    <n v="81.599999999999994"/>
    <n v="2.5"/>
    <n v="6"/>
    <n v="45"/>
    <n v="96.4"/>
  </r>
  <r>
    <x v="15"/>
    <x v="15"/>
    <d v="2026-02-28T00:00:00"/>
    <x v="106"/>
    <n v="82.6"/>
    <n v="4.4000000000000004"/>
    <n v="4"/>
    <n v="55.7"/>
    <n v="88.5"/>
  </r>
  <r>
    <x v="3"/>
    <x v="3"/>
    <d v="2026-01-06T00:00:00"/>
    <x v="107"/>
    <n v="48.5"/>
    <n v="4.0999999999999996"/>
    <n v="7"/>
    <n v="47.4"/>
    <n v="95"/>
  </r>
  <r>
    <x v="8"/>
    <x v="8"/>
    <d v="2026-03-05T00:00:00"/>
    <x v="108"/>
    <n v="139.1"/>
    <n v="4.4000000000000004"/>
    <n v="6"/>
    <n v="69.099999999999994"/>
    <n v="98.1"/>
  </r>
  <r>
    <x v="13"/>
    <x v="13"/>
    <d v="2026-01-13T00:00:00"/>
    <x v="109"/>
    <n v="68.099999999999994"/>
    <n v="3.3"/>
    <n v="7"/>
    <n v="69.2"/>
    <n v="99.5"/>
  </r>
  <r>
    <x v="1"/>
    <x v="1"/>
    <d v="2026-03-02T00:00:00"/>
    <x v="110"/>
    <n v="105"/>
    <n v="2.9"/>
    <n v="7"/>
    <n v="59.2"/>
    <n v="97.8"/>
  </r>
  <r>
    <x v="2"/>
    <x v="2"/>
    <d v="2026-02-18T00:00:00"/>
    <x v="111"/>
    <n v="96.4"/>
    <n v="4"/>
    <n v="8"/>
    <n v="69.3"/>
    <n v="85.5"/>
  </r>
  <r>
    <x v="1"/>
    <x v="1"/>
    <d v="2026-01-31T00:00:00"/>
    <x v="112"/>
    <n v="59.3"/>
    <n v="4.5"/>
    <n v="2"/>
    <n v="49.5"/>
    <n v="86.5"/>
  </r>
  <r>
    <x v="0"/>
    <x v="0"/>
    <d v="2026-02-26T00:00:00"/>
    <x v="113"/>
    <n v="39.200000000000003"/>
    <n v="0.3"/>
    <n v="6"/>
    <n v="65.8"/>
    <n v="89.4"/>
  </r>
  <r>
    <x v="4"/>
    <x v="4"/>
    <d v="2026-02-25T00:00:00"/>
    <x v="114"/>
    <n v="31.6"/>
    <n v="2.6"/>
    <n v="3"/>
    <n v="37.6"/>
    <n v="86.2"/>
  </r>
  <r>
    <x v="15"/>
    <x v="15"/>
    <d v="2026-03-21T00:00:00"/>
    <x v="115"/>
    <n v="80.3"/>
    <n v="2.7"/>
    <n v="4"/>
    <n v="50.8"/>
    <n v="88.8"/>
  </r>
  <r>
    <x v="19"/>
    <x v="19"/>
    <d v="2026-03-27T00:00:00"/>
    <x v="116"/>
    <n v="16.8"/>
    <n v="4.0999999999999996"/>
    <n v="3"/>
    <n v="33.299999999999997"/>
    <n v="99.2"/>
  </r>
  <r>
    <x v="16"/>
    <x v="16"/>
    <d v="2026-02-08T00:00:00"/>
    <x v="117"/>
    <n v="80.2"/>
    <n v="1.3"/>
    <n v="5"/>
    <n v="39"/>
    <n v="90.8"/>
  </r>
  <r>
    <x v="17"/>
    <x v="17"/>
    <d v="2026-01-14T00:00:00"/>
    <x v="118"/>
    <n v="65"/>
    <n v="2.7"/>
    <n v="5"/>
    <n v="31"/>
    <n v="97.5"/>
  </r>
  <r>
    <x v="15"/>
    <x v="15"/>
    <d v="2026-02-05T00:00:00"/>
    <x v="119"/>
    <n v="16.2"/>
    <n v="3.5"/>
    <n v="1"/>
    <n v="71"/>
    <n v="96.2"/>
  </r>
  <r>
    <x v="10"/>
    <x v="10"/>
    <d v="2026-01-30T00:00:00"/>
    <x v="120"/>
    <n v="81.2"/>
    <n v="2.9"/>
    <n v="5"/>
    <n v="60.5"/>
    <n v="95.8"/>
  </r>
  <r>
    <x v="8"/>
    <x v="8"/>
    <d v="2026-03-22T00:00:00"/>
    <x v="121"/>
    <n v="25.8"/>
    <n v="0.4"/>
    <n v="8"/>
    <n v="31.5"/>
    <n v="90.5"/>
  </r>
  <r>
    <x v="8"/>
    <x v="8"/>
    <d v="2026-01-12T00:00:00"/>
    <x v="122"/>
    <n v="113.1"/>
    <n v="2"/>
    <n v="4"/>
    <n v="35.9"/>
    <n v="93.1"/>
  </r>
  <r>
    <x v="4"/>
    <x v="4"/>
    <d v="2026-03-09T00:00:00"/>
    <x v="123"/>
    <n v="75.099999999999994"/>
    <n v="0.9"/>
    <n v="8"/>
    <n v="73.5"/>
    <n v="89.4"/>
  </r>
  <r>
    <x v="7"/>
    <x v="7"/>
    <d v="2026-01-15T00:00:00"/>
    <x v="124"/>
    <n v="84.3"/>
    <n v="3.4"/>
    <n v="4"/>
    <n v="68.7"/>
    <n v="95.9"/>
  </r>
  <r>
    <x v="15"/>
    <x v="15"/>
    <d v="2026-03-13T00:00:00"/>
    <x v="125"/>
    <n v="43.6"/>
    <n v="0.3"/>
    <n v="2"/>
    <n v="50.5"/>
    <n v="95.1"/>
  </r>
  <r>
    <x v="19"/>
    <x v="19"/>
    <d v="2026-03-16T00:00:00"/>
    <x v="126"/>
    <n v="48.8"/>
    <n v="1.8"/>
    <n v="4"/>
    <n v="51.2"/>
    <n v="94.3"/>
  </r>
  <r>
    <x v="2"/>
    <x v="2"/>
    <d v="2026-02-11T00:00:00"/>
    <x v="127"/>
    <n v="123.2"/>
    <n v="0.5"/>
    <n v="8"/>
    <n v="70.900000000000006"/>
    <n v="89.5"/>
  </r>
  <r>
    <x v="3"/>
    <x v="3"/>
    <d v="2026-01-15T00:00:00"/>
    <x v="128"/>
    <n v="24.6"/>
    <n v="1.5"/>
    <n v="8"/>
    <n v="35.200000000000003"/>
    <n v="88.5"/>
  </r>
  <r>
    <x v="2"/>
    <x v="2"/>
    <d v="2026-01-18T00:00:00"/>
    <x v="129"/>
    <n v="58.9"/>
    <n v="4.3"/>
    <n v="7"/>
    <n v="56.4"/>
    <n v="95.9"/>
  </r>
  <r>
    <x v="3"/>
    <x v="3"/>
    <d v="2026-03-25T00:00:00"/>
    <x v="130"/>
    <n v="28.3"/>
    <n v="2"/>
    <n v="5"/>
    <n v="31.5"/>
    <n v="90.6"/>
  </r>
  <r>
    <x v="13"/>
    <x v="13"/>
    <d v="2026-02-26T00:00:00"/>
    <x v="131"/>
    <n v="84.5"/>
    <n v="0.6"/>
    <n v="6"/>
    <n v="54.5"/>
    <n v="99.7"/>
  </r>
  <r>
    <x v="4"/>
    <x v="4"/>
    <d v="2026-01-08T00:00:00"/>
    <x v="132"/>
    <n v="68.599999999999994"/>
    <n v="0.7"/>
    <n v="8"/>
    <n v="34.1"/>
    <n v="88.2"/>
  </r>
  <r>
    <x v="18"/>
    <x v="18"/>
    <d v="2026-01-03T00:00:00"/>
    <x v="27"/>
    <n v="65"/>
    <n v="4.5"/>
    <n v="4"/>
    <n v="33.1"/>
    <n v="96.5"/>
  </r>
  <r>
    <x v="12"/>
    <x v="12"/>
    <d v="2026-03-17T00:00:00"/>
    <x v="133"/>
    <n v="31.1"/>
    <n v="1.6"/>
    <n v="3"/>
    <n v="65.5"/>
    <n v="93.9"/>
  </r>
  <r>
    <x v="19"/>
    <x v="19"/>
    <d v="2026-01-19T00:00:00"/>
    <x v="134"/>
    <n v="104.6"/>
    <n v="3.6"/>
    <n v="2"/>
    <n v="59.7"/>
    <n v="85.4"/>
  </r>
  <r>
    <x v="9"/>
    <x v="9"/>
    <d v="2026-02-15T00:00:00"/>
    <x v="135"/>
    <n v="108.2"/>
    <n v="1.6"/>
    <n v="3"/>
    <n v="41.9"/>
    <n v="86.9"/>
  </r>
  <r>
    <x v="3"/>
    <x v="3"/>
    <d v="2026-03-09T00:00:00"/>
    <x v="136"/>
    <n v="41.1"/>
    <n v="2.1"/>
    <n v="6"/>
    <n v="53.1"/>
    <n v="86.6"/>
  </r>
  <r>
    <x v="11"/>
    <x v="11"/>
    <d v="2026-01-29T00:00:00"/>
    <x v="137"/>
    <n v="147.30000000000001"/>
    <n v="3.6"/>
    <n v="5"/>
    <n v="50.6"/>
    <n v="99.5"/>
  </r>
  <r>
    <x v="6"/>
    <x v="6"/>
    <d v="2026-03-03T00:00:00"/>
    <x v="138"/>
    <n v="99.6"/>
    <n v="0.7"/>
    <n v="8"/>
    <n v="33.299999999999997"/>
    <n v="86.2"/>
  </r>
  <r>
    <x v="18"/>
    <x v="18"/>
    <d v="2026-01-19T00:00:00"/>
    <x v="139"/>
    <n v="29.4"/>
    <n v="2.9"/>
    <n v="6"/>
    <n v="47.1"/>
    <n v="94"/>
  </r>
  <r>
    <x v="10"/>
    <x v="10"/>
    <d v="2026-02-28T00:00:00"/>
    <x v="140"/>
    <n v="67.400000000000006"/>
    <n v="2.2999999999999998"/>
    <n v="2"/>
    <n v="68.400000000000006"/>
    <n v="94.8"/>
  </r>
  <r>
    <x v="2"/>
    <x v="2"/>
    <d v="2026-01-28T00:00:00"/>
    <x v="141"/>
    <n v="46"/>
    <n v="2"/>
    <n v="8"/>
    <n v="47.9"/>
    <n v="95.9"/>
  </r>
  <r>
    <x v="7"/>
    <x v="7"/>
    <d v="2026-02-24T00:00:00"/>
    <x v="142"/>
    <n v="56.1"/>
    <n v="4.3"/>
    <n v="8"/>
    <n v="33"/>
    <n v="97.5"/>
  </r>
  <r>
    <x v="1"/>
    <x v="1"/>
    <d v="2026-02-25T00:00:00"/>
    <x v="143"/>
    <n v="24.1"/>
    <n v="3.7"/>
    <n v="1"/>
    <n v="56.4"/>
    <n v="93.4"/>
  </r>
  <r>
    <x v="7"/>
    <x v="7"/>
    <d v="2026-03-27T00:00:00"/>
    <x v="144"/>
    <n v="33.299999999999997"/>
    <n v="3.1"/>
    <n v="7"/>
    <n v="69.099999999999994"/>
    <n v="95.8"/>
  </r>
  <r>
    <x v="10"/>
    <x v="10"/>
    <d v="2026-03-18T00:00:00"/>
    <x v="142"/>
    <n v="63.5"/>
    <n v="2.4"/>
    <n v="3"/>
    <n v="59.6"/>
    <n v="88.4"/>
  </r>
  <r>
    <x v="0"/>
    <x v="0"/>
    <d v="2026-02-14T00:00:00"/>
    <x v="145"/>
    <n v="103.6"/>
    <n v="3.5"/>
    <n v="4"/>
    <n v="66.3"/>
    <n v="97.7"/>
  </r>
  <r>
    <x v="18"/>
    <x v="18"/>
    <d v="2026-03-20T00:00:00"/>
    <x v="146"/>
    <n v="76.599999999999994"/>
    <n v="2.8"/>
    <n v="5"/>
    <n v="31.3"/>
    <n v="89.1"/>
  </r>
  <r>
    <x v="10"/>
    <x v="10"/>
    <d v="2026-02-13T00:00:00"/>
    <x v="147"/>
    <n v="63.8"/>
    <n v="0.8"/>
    <n v="7"/>
    <n v="33.1"/>
    <n v="96.1"/>
  </r>
  <r>
    <x v="9"/>
    <x v="9"/>
    <d v="2026-01-12T00:00:00"/>
    <x v="148"/>
    <n v="105.3"/>
    <n v="2"/>
    <n v="6"/>
    <n v="37.1"/>
    <n v="89.7"/>
  </r>
  <r>
    <x v="7"/>
    <x v="7"/>
    <d v="2026-03-14T00:00:00"/>
    <x v="149"/>
    <n v="58"/>
    <n v="0.9"/>
    <n v="1"/>
    <n v="60.3"/>
    <n v="89.1"/>
  </r>
  <r>
    <x v="3"/>
    <x v="3"/>
    <d v="2026-03-04T00:00:00"/>
    <x v="120"/>
    <n v="77.7"/>
    <n v="1.1000000000000001"/>
    <n v="2"/>
    <n v="45.5"/>
    <n v="86.7"/>
  </r>
  <r>
    <x v="16"/>
    <x v="16"/>
    <d v="2026-03-04T00:00:00"/>
    <x v="150"/>
    <n v="75.7"/>
    <n v="1.1000000000000001"/>
    <n v="1"/>
    <n v="30.3"/>
    <n v="89.5"/>
  </r>
  <r>
    <x v="12"/>
    <x v="12"/>
    <d v="2026-01-18T00:00:00"/>
    <x v="151"/>
    <n v="101.3"/>
    <n v="0.7"/>
    <n v="8"/>
    <n v="63.6"/>
    <n v="87.6"/>
  </r>
  <r>
    <x v="15"/>
    <x v="15"/>
    <d v="2026-03-10T00:00:00"/>
    <x v="152"/>
    <n v="82"/>
    <n v="3.8"/>
    <n v="6"/>
    <n v="33.200000000000003"/>
    <n v="97.9"/>
  </r>
  <r>
    <x v="6"/>
    <x v="6"/>
    <d v="2026-02-25T00:00:00"/>
    <x v="153"/>
    <n v="16.399999999999999"/>
    <n v="3.9"/>
    <n v="7"/>
    <n v="55.8"/>
    <n v="95.6"/>
  </r>
  <r>
    <x v="3"/>
    <x v="3"/>
    <d v="2026-02-07T00:00:00"/>
    <x v="154"/>
    <n v="42.9"/>
    <n v="1.6"/>
    <n v="8"/>
    <n v="67.400000000000006"/>
    <n v="98.8"/>
  </r>
  <r>
    <x v="1"/>
    <x v="1"/>
    <d v="2026-02-25T00:00:00"/>
    <x v="155"/>
    <n v="113.5"/>
    <n v="2.7"/>
    <n v="2"/>
    <n v="47.8"/>
    <n v="89.7"/>
  </r>
  <r>
    <x v="7"/>
    <x v="7"/>
    <d v="2026-01-29T00:00:00"/>
    <x v="156"/>
    <n v="62.4"/>
    <n v="2.4"/>
    <n v="2"/>
    <n v="53.9"/>
    <n v="87.9"/>
  </r>
  <r>
    <x v="4"/>
    <x v="4"/>
    <d v="2026-02-14T00:00:00"/>
    <x v="157"/>
    <n v="69.7"/>
    <n v="3.7"/>
    <n v="4"/>
    <n v="34.6"/>
    <n v="88.8"/>
  </r>
  <r>
    <x v="14"/>
    <x v="14"/>
    <d v="2026-03-19T00:00:00"/>
    <x v="158"/>
    <n v="28.2"/>
    <n v="0.5"/>
    <n v="8"/>
    <n v="50.9"/>
    <n v="93.5"/>
  </r>
  <r>
    <x v="16"/>
    <x v="16"/>
    <d v="2026-02-27T00:00:00"/>
    <x v="159"/>
    <n v="64.099999999999994"/>
    <n v="3"/>
    <n v="6"/>
    <n v="68.900000000000006"/>
    <n v="94.4"/>
  </r>
  <r>
    <x v="8"/>
    <x v="8"/>
    <d v="2026-02-26T00:00:00"/>
    <x v="160"/>
    <n v="26.4"/>
    <n v="1.5"/>
    <n v="5"/>
    <n v="56.6"/>
    <n v="90.3"/>
  </r>
  <r>
    <x v="1"/>
    <x v="1"/>
    <d v="2026-02-09T00:00:00"/>
    <x v="161"/>
    <n v="86.4"/>
    <n v="1.8"/>
    <n v="5"/>
    <n v="33.5"/>
    <n v="98"/>
  </r>
  <r>
    <x v="1"/>
    <x v="1"/>
    <d v="2026-03-20T00:00:00"/>
    <x v="162"/>
    <n v="78.099999999999994"/>
    <n v="2.7"/>
    <n v="1"/>
    <n v="50.2"/>
    <n v="97.1"/>
  </r>
  <r>
    <x v="12"/>
    <x v="12"/>
    <d v="2026-02-11T00:00:00"/>
    <x v="163"/>
    <n v="73.2"/>
    <n v="4.3"/>
    <n v="8"/>
    <n v="34.700000000000003"/>
    <n v="98.5"/>
  </r>
  <r>
    <x v="7"/>
    <x v="7"/>
    <d v="2026-01-11T00:00:00"/>
    <x v="164"/>
    <n v="81.7"/>
    <n v="1.3"/>
    <n v="8"/>
    <n v="74.599999999999994"/>
    <n v="92.9"/>
  </r>
  <r>
    <x v="18"/>
    <x v="18"/>
    <d v="2026-01-21T00:00:00"/>
    <x v="165"/>
    <n v="40.700000000000003"/>
    <n v="1.9"/>
    <n v="6"/>
    <n v="60.6"/>
    <n v="85.8"/>
  </r>
  <r>
    <x v="7"/>
    <x v="7"/>
    <d v="2026-01-09T00:00:00"/>
    <x v="166"/>
    <n v="46.9"/>
    <n v="1.9"/>
    <n v="5"/>
    <n v="62.6"/>
    <n v="94.8"/>
  </r>
  <r>
    <x v="18"/>
    <x v="18"/>
    <d v="2026-01-20T00:00:00"/>
    <x v="167"/>
    <n v="46.5"/>
    <n v="0.8"/>
    <n v="6"/>
    <n v="44"/>
    <n v="94.8"/>
  </r>
  <r>
    <x v="15"/>
    <x v="15"/>
    <d v="2026-01-17T00:00:00"/>
    <x v="168"/>
    <n v="56.3"/>
    <n v="1.5"/>
    <n v="7"/>
    <n v="59"/>
    <n v="89.9"/>
  </r>
  <r>
    <x v="8"/>
    <x v="8"/>
    <d v="2026-03-27T00:00:00"/>
    <x v="169"/>
    <n v="63.5"/>
    <n v="4.5"/>
    <n v="2"/>
    <n v="59.1"/>
    <n v="91.4"/>
  </r>
  <r>
    <x v="4"/>
    <x v="4"/>
    <d v="2026-01-03T00:00:00"/>
    <x v="170"/>
    <n v="65.2"/>
    <n v="1.1000000000000001"/>
    <n v="8"/>
    <n v="38.6"/>
    <n v="100"/>
  </r>
  <r>
    <x v="8"/>
    <x v="8"/>
    <d v="2026-01-10T00:00:00"/>
    <x v="171"/>
    <n v="38.4"/>
    <n v="2.4"/>
    <n v="1"/>
    <n v="59.8"/>
    <n v="98.1"/>
  </r>
  <r>
    <x v="18"/>
    <x v="18"/>
    <d v="2026-01-17T00:00:00"/>
    <x v="172"/>
    <n v="93.6"/>
    <n v="1"/>
    <n v="3"/>
    <n v="62.5"/>
    <n v="92"/>
  </r>
  <r>
    <x v="4"/>
    <x v="4"/>
    <d v="2026-03-28T00:00:00"/>
    <x v="173"/>
    <n v="63.9"/>
    <n v="2.8"/>
    <n v="8"/>
    <n v="40.5"/>
    <n v="88.6"/>
  </r>
  <r>
    <x v="17"/>
    <x v="17"/>
    <d v="2026-01-25T00:00:00"/>
    <x v="174"/>
    <n v="40.299999999999997"/>
    <n v="4.4000000000000004"/>
    <n v="8"/>
    <n v="64.599999999999994"/>
    <n v="96.7"/>
  </r>
  <r>
    <x v="11"/>
    <x v="11"/>
    <d v="2026-03-09T00:00:00"/>
    <x v="175"/>
    <n v="72.599999999999994"/>
    <n v="1.1000000000000001"/>
    <n v="3"/>
    <n v="69.3"/>
    <n v="85.8"/>
  </r>
  <r>
    <x v="17"/>
    <x v="17"/>
    <d v="2026-02-17T00:00:00"/>
    <x v="176"/>
    <n v="92.7"/>
    <n v="3.8"/>
    <n v="2"/>
    <n v="42.8"/>
    <n v="96.4"/>
  </r>
  <r>
    <x v="19"/>
    <x v="19"/>
    <d v="2026-02-27T00:00:00"/>
    <x v="177"/>
    <n v="129.80000000000001"/>
    <n v="2.1"/>
    <n v="4"/>
    <n v="66.8"/>
    <n v="98.3"/>
  </r>
  <r>
    <x v="9"/>
    <x v="9"/>
    <d v="2026-02-23T00:00:00"/>
    <x v="178"/>
    <n v="24"/>
    <n v="1.2"/>
    <n v="2"/>
    <n v="46.9"/>
    <n v="85.4"/>
  </r>
  <r>
    <x v="0"/>
    <x v="0"/>
    <d v="2026-03-25T00:00:00"/>
    <x v="179"/>
    <n v="63.9"/>
    <n v="0.4"/>
    <n v="8"/>
    <n v="61.3"/>
    <n v="87.1"/>
  </r>
  <r>
    <x v="17"/>
    <x v="17"/>
    <d v="2026-02-27T00:00:00"/>
    <x v="180"/>
    <n v="58.7"/>
    <n v="0.3"/>
    <n v="4"/>
    <n v="67.599999999999994"/>
    <n v="93.2"/>
  </r>
  <r>
    <x v="18"/>
    <x v="18"/>
    <d v="2026-03-09T00:00:00"/>
    <x v="181"/>
    <n v="48.3"/>
    <n v="1.2"/>
    <n v="2"/>
    <n v="32.1"/>
    <n v="91.3"/>
  </r>
  <r>
    <x v="18"/>
    <x v="18"/>
    <d v="2026-02-28T00:00:00"/>
    <x v="182"/>
    <n v="20.399999999999999"/>
    <n v="2.2999999999999998"/>
    <n v="1"/>
    <n v="58.4"/>
    <n v="93.6"/>
  </r>
  <r>
    <x v="8"/>
    <x v="8"/>
    <d v="2026-02-07T00:00:00"/>
    <x v="183"/>
    <n v="53.5"/>
    <n v="1.2"/>
    <n v="7"/>
    <n v="38.4"/>
    <n v="95"/>
  </r>
  <r>
    <x v="11"/>
    <x v="11"/>
    <d v="2026-02-16T00:00:00"/>
    <x v="184"/>
    <n v="24.9"/>
    <n v="2.4"/>
    <n v="1"/>
    <n v="47.6"/>
    <n v="92.1"/>
  </r>
  <r>
    <x v="15"/>
    <x v="15"/>
    <d v="2026-02-17T00:00:00"/>
    <x v="185"/>
    <n v="61.1"/>
    <n v="3.6"/>
    <n v="6"/>
    <n v="40.9"/>
    <n v="94.9"/>
  </r>
  <r>
    <x v="0"/>
    <x v="0"/>
    <d v="2026-03-16T00:00:00"/>
    <x v="186"/>
    <n v="95.2"/>
    <n v="0.4"/>
    <n v="6"/>
    <n v="66.599999999999994"/>
    <n v="87.6"/>
  </r>
  <r>
    <x v="13"/>
    <x v="13"/>
    <d v="2026-03-31T00:00:00"/>
    <x v="187"/>
    <n v="78.099999999999994"/>
    <n v="0.8"/>
    <n v="8"/>
    <n v="31.7"/>
    <n v="88"/>
  </r>
  <r>
    <x v="12"/>
    <x v="12"/>
    <d v="2026-01-06T00:00:00"/>
    <x v="188"/>
    <n v="54.1"/>
    <n v="1.9"/>
    <n v="8"/>
    <n v="41.4"/>
    <n v="96.3"/>
  </r>
  <r>
    <x v="12"/>
    <x v="12"/>
    <d v="2026-02-06T00:00:00"/>
    <x v="189"/>
    <n v="43.2"/>
    <n v="3.9"/>
    <n v="6"/>
    <n v="42.3"/>
    <n v="97"/>
  </r>
  <r>
    <x v="3"/>
    <x v="3"/>
    <d v="2026-02-21T00:00:00"/>
    <x v="190"/>
    <n v="68.099999999999994"/>
    <n v="1.9"/>
    <n v="3"/>
    <n v="52.3"/>
    <n v="92.5"/>
  </r>
  <r>
    <x v="11"/>
    <x v="11"/>
    <d v="2026-02-04T00:00:00"/>
    <x v="191"/>
    <n v="79"/>
    <n v="0.5"/>
    <n v="3"/>
    <n v="54.5"/>
    <n v="89.8"/>
  </r>
  <r>
    <x v="1"/>
    <x v="1"/>
    <d v="2026-02-11T00:00:00"/>
    <x v="192"/>
    <n v="89.5"/>
    <n v="2.8"/>
    <n v="7"/>
    <n v="37.5"/>
    <n v="91.7"/>
  </r>
  <r>
    <x v="13"/>
    <x v="13"/>
    <d v="2026-01-06T00:00:00"/>
    <x v="193"/>
    <n v="66.3"/>
    <n v="2.8"/>
    <n v="7"/>
    <n v="42.4"/>
    <n v="99.7"/>
  </r>
  <r>
    <x v="6"/>
    <x v="6"/>
    <d v="2026-01-10T00:00:00"/>
    <x v="194"/>
    <n v="84.2"/>
    <n v="2.4"/>
    <n v="3"/>
    <n v="72.900000000000006"/>
    <n v="87.1"/>
  </r>
  <r>
    <x v="18"/>
    <x v="18"/>
    <d v="2026-03-28T00:00:00"/>
    <x v="195"/>
    <n v="127.5"/>
    <n v="0.5"/>
    <n v="6"/>
    <n v="46.3"/>
    <n v="99.2"/>
  </r>
  <r>
    <x v="6"/>
    <x v="6"/>
    <d v="2026-03-19T00:00:00"/>
    <x v="196"/>
    <n v="34.1"/>
    <n v="1.8"/>
    <n v="8"/>
    <n v="64.3"/>
    <n v="93.6"/>
  </r>
  <r>
    <x v="11"/>
    <x v="11"/>
    <d v="2026-02-16T00:00:00"/>
    <x v="132"/>
    <n v="49.9"/>
    <n v="1.3"/>
    <n v="2"/>
    <n v="31.2"/>
    <n v="87.8"/>
  </r>
  <r>
    <x v="11"/>
    <x v="11"/>
    <d v="2026-02-19T00:00:00"/>
    <x v="197"/>
    <n v="134.1"/>
    <n v="3.5"/>
    <n v="8"/>
    <n v="39.700000000000003"/>
    <n v="94.2"/>
  </r>
  <r>
    <x v="17"/>
    <x v="17"/>
    <d v="2026-01-26T00:00:00"/>
    <x v="198"/>
    <n v="24.6"/>
    <n v="2.1"/>
    <n v="8"/>
    <n v="74.900000000000006"/>
    <n v="97.2"/>
  </r>
  <r>
    <x v="7"/>
    <x v="7"/>
    <d v="2026-03-27T00:00:00"/>
    <x v="199"/>
    <n v="70.099999999999994"/>
    <n v="2.5"/>
    <n v="5"/>
    <n v="68.3"/>
    <n v="95.7"/>
  </r>
  <r>
    <x v="14"/>
    <x v="14"/>
    <d v="2026-02-16T00:00:00"/>
    <x v="200"/>
    <n v="85.8"/>
    <n v="1.1000000000000001"/>
    <n v="3"/>
    <n v="40.700000000000003"/>
    <n v="92.4"/>
  </r>
  <r>
    <x v="4"/>
    <x v="4"/>
    <d v="2026-03-12T00:00:00"/>
    <x v="201"/>
    <n v="71.8"/>
    <n v="4.4000000000000004"/>
    <n v="3"/>
    <n v="57.5"/>
    <n v="86.3"/>
  </r>
  <r>
    <x v="10"/>
    <x v="10"/>
    <d v="2026-02-20T00:00:00"/>
    <x v="202"/>
    <n v="94.9"/>
    <n v="2.5"/>
    <n v="7"/>
    <n v="67.099999999999994"/>
    <n v="86.1"/>
  </r>
  <r>
    <x v="7"/>
    <x v="7"/>
    <d v="2026-03-24T00:00:00"/>
    <x v="203"/>
    <n v="26.5"/>
    <n v="2.4"/>
    <n v="3"/>
    <n v="69.5"/>
    <n v="96.7"/>
  </r>
  <r>
    <x v="16"/>
    <x v="16"/>
    <d v="2026-01-24T00:00:00"/>
    <x v="204"/>
    <n v="115.6"/>
    <n v="2.4"/>
    <n v="1"/>
    <n v="67.400000000000006"/>
    <n v="92.8"/>
  </r>
  <r>
    <x v="10"/>
    <x v="10"/>
    <d v="2026-01-22T00:00:00"/>
    <x v="205"/>
    <n v="26.3"/>
    <n v="1.2"/>
    <n v="5"/>
    <n v="68.099999999999994"/>
    <n v="88.8"/>
  </r>
  <r>
    <x v="2"/>
    <x v="2"/>
    <d v="2026-02-05T00:00:00"/>
    <x v="206"/>
    <n v="34.9"/>
    <n v="2.5"/>
    <n v="3"/>
    <n v="56.6"/>
    <n v="93.7"/>
  </r>
  <r>
    <x v="14"/>
    <x v="14"/>
    <d v="2026-03-26T00:00:00"/>
    <x v="207"/>
    <n v="59.4"/>
    <n v="1.7"/>
    <n v="1"/>
    <n v="67.099999999999994"/>
    <n v="85.4"/>
  </r>
  <r>
    <x v="6"/>
    <x v="6"/>
    <d v="2026-03-24T00:00:00"/>
    <x v="208"/>
    <n v="103.9"/>
    <n v="1.1000000000000001"/>
    <n v="7"/>
    <n v="57.8"/>
    <n v="85.5"/>
  </r>
  <r>
    <x v="2"/>
    <x v="2"/>
    <d v="2026-02-07T00:00:00"/>
    <x v="209"/>
    <n v="87.8"/>
    <n v="1.3"/>
    <n v="7"/>
    <n v="43.4"/>
    <n v="86.1"/>
  </r>
  <r>
    <x v="6"/>
    <x v="6"/>
    <d v="2026-01-21T00:00:00"/>
    <x v="210"/>
    <n v="59.1"/>
    <n v="1.1000000000000001"/>
    <n v="3"/>
    <n v="44.1"/>
    <n v="95.8"/>
  </r>
  <r>
    <x v="4"/>
    <x v="4"/>
    <d v="2026-02-21T00:00:00"/>
    <x v="211"/>
    <n v="33.799999999999997"/>
    <n v="2.6"/>
    <n v="6"/>
    <n v="40.9"/>
    <n v="86.8"/>
  </r>
  <r>
    <x v="13"/>
    <x v="13"/>
    <d v="2026-02-01T00:00:00"/>
    <x v="212"/>
    <n v="45"/>
    <n v="4.3"/>
    <n v="7"/>
    <n v="41.2"/>
    <n v="98"/>
  </r>
  <r>
    <x v="14"/>
    <x v="14"/>
    <d v="2026-02-11T00:00:00"/>
    <x v="213"/>
    <n v="89.6"/>
    <n v="1"/>
    <n v="3"/>
    <n v="52.4"/>
    <n v="92.7"/>
  </r>
  <r>
    <x v="17"/>
    <x v="17"/>
    <d v="2026-02-09T00:00:00"/>
    <x v="214"/>
    <n v="86.8"/>
    <n v="1.9"/>
    <n v="8"/>
    <n v="73.5"/>
    <n v="88.2"/>
  </r>
  <r>
    <x v="4"/>
    <x v="4"/>
    <d v="2026-01-07T00:00:00"/>
    <x v="27"/>
    <n v="23.9"/>
    <n v="4"/>
    <n v="8"/>
    <n v="42.9"/>
    <n v="85.1"/>
  </r>
  <r>
    <x v="0"/>
    <x v="0"/>
    <d v="2026-02-25T00:00:00"/>
    <x v="215"/>
    <n v="36.9"/>
    <n v="1.8"/>
    <n v="7"/>
    <n v="46.5"/>
    <n v="91"/>
  </r>
  <r>
    <x v="16"/>
    <x v="16"/>
    <d v="2026-03-13T00:00:00"/>
    <x v="216"/>
    <n v="35.4"/>
    <n v="0.5"/>
    <n v="8"/>
    <n v="64.400000000000006"/>
    <n v="89.2"/>
  </r>
  <r>
    <x v="18"/>
    <x v="18"/>
    <d v="2026-03-29T00:00:00"/>
    <x v="217"/>
    <n v="97.3"/>
    <n v="0.6"/>
    <n v="6"/>
    <n v="65.8"/>
    <n v="90.1"/>
  </r>
  <r>
    <x v="4"/>
    <x v="4"/>
    <d v="2026-01-19T00:00:00"/>
    <x v="218"/>
    <n v="36.799999999999997"/>
    <n v="2.4"/>
    <n v="1"/>
    <n v="31.8"/>
    <n v="95.7"/>
  </r>
  <r>
    <x v="17"/>
    <x v="17"/>
    <d v="2026-03-08T00:00:00"/>
    <x v="219"/>
    <n v="56.1"/>
    <n v="2.4"/>
    <n v="6"/>
    <n v="71.900000000000006"/>
    <n v="89.8"/>
  </r>
  <r>
    <x v="15"/>
    <x v="15"/>
    <d v="2026-03-20T00:00:00"/>
    <x v="220"/>
    <n v="98"/>
    <n v="1.6"/>
    <n v="8"/>
    <n v="61.9"/>
    <n v="89.5"/>
  </r>
  <r>
    <x v="9"/>
    <x v="9"/>
    <d v="2026-02-17T00:00:00"/>
    <x v="221"/>
    <n v="65.400000000000006"/>
    <n v="2"/>
    <n v="5"/>
    <n v="65.900000000000006"/>
    <n v="95.9"/>
  </r>
  <r>
    <x v="9"/>
    <x v="9"/>
    <d v="2026-03-18T00:00:00"/>
    <x v="222"/>
    <n v="47.2"/>
    <n v="3.6"/>
    <n v="4"/>
    <n v="62.5"/>
    <n v="93.8"/>
  </r>
  <r>
    <x v="14"/>
    <x v="14"/>
    <d v="2026-03-09T00:00:00"/>
    <x v="223"/>
    <n v="69.900000000000006"/>
    <n v="3.8"/>
    <n v="3"/>
    <n v="67"/>
    <n v="88.6"/>
  </r>
  <r>
    <x v="16"/>
    <x v="16"/>
    <d v="2026-03-31T00:00:00"/>
    <x v="224"/>
    <n v="42.3"/>
    <n v="1.5"/>
    <n v="3"/>
    <n v="48.6"/>
    <n v="88.1"/>
  </r>
  <r>
    <x v="11"/>
    <x v="11"/>
    <d v="2026-03-20T00:00:00"/>
    <x v="225"/>
    <n v="81.599999999999994"/>
    <n v="3.4"/>
    <n v="1"/>
    <n v="61.8"/>
    <n v="92.8"/>
  </r>
  <r>
    <x v="2"/>
    <x v="2"/>
    <d v="2026-02-11T00:00:00"/>
    <x v="226"/>
    <n v="109.8"/>
    <n v="1.8"/>
    <n v="3"/>
    <n v="50.7"/>
    <n v="93"/>
  </r>
  <r>
    <x v="2"/>
    <x v="2"/>
    <d v="2026-02-15T00:00:00"/>
    <x v="227"/>
    <n v="64.2"/>
    <n v="3.1"/>
    <n v="5"/>
    <n v="57.5"/>
    <n v="87.9"/>
  </r>
  <r>
    <x v="5"/>
    <x v="5"/>
    <d v="2026-02-05T00:00:00"/>
    <x v="228"/>
    <n v="84.1"/>
    <n v="4.4000000000000004"/>
    <n v="5"/>
    <n v="64.7"/>
    <n v="95.6"/>
  </r>
  <r>
    <x v="17"/>
    <x v="17"/>
    <d v="2026-02-10T00:00:00"/>
    <x v="229"/>
    <n v="59.7"/>
    <n v="4.2"/>
    <n v="5"/>
    <n v="43"/>
    <n v="93.6"/>
  </r>
  <r>
    <x v="2"/>
    <x v="2"/>
    <d v="2026-02-18T00:00:00"/>
    <x v="230"/>
    <n v="106.4"/>
    <n v="1.7"/>
    <n v="3"/>
    <n v="43.1"/>
    <n v="89.3"/>
  </r>
  <r>
    <x v="1"/>
    <x v="1"/>
    <d v="2026-02-14T00:00:00"/>
    <x v="231"/>
    <n v="92.3"/>
    <n v="3.4"/>
    <n v="4"/>
    <n v="39.1"/>
    <n v="93.1"/>
  </r>
  <r>
    <x v="2"/>
    <x v="2"/>
    <d v="2026-03-31T00:00:00"/>
    <x v="232"/>
    <n v="58.3"/>
    <n v="3.4"/>
    <n v="4"/>
    <n v="40.9"/>
    <n v="95"/>
  </r>
  <r>
    <x v="11"/>
    <x v="11"/>
    <d v="2026-01-29T00:00:00"/>
    <x v="233"/>
    <n v="107.4"/>
    <n v="2"/>
    <n v="8"/>
    <n v="34.5"/>
    <n v="96.6"/>
  </r>
  <r>
    <x v="9"/>
    <x v="9"/>
    <d v="2026-03-12T00:00:00"/>
    <x v="234"/>
    <n v="136.9"/>
    <n v="3"/>
    <n v="8"/>
    <n v="51.5"/>
    <n v="88"/>
  </r>
  <r>
    <x v="10"/>
    <x v="10"/>
    <d v="2026-02-11T00:00:00"/>
    <x v="235"/>
    <n v="62.7"/>
    <n v="3.5"/>
    <n v="4"/>
    <n v="54.1"/>
    <n v="95.8"/>
  </r>
  <r>
    <x v="6"/>
    <x v="6"/>
    <d v="2026-01-23T00:00:00"/>
    <x v="236"/>
    <n v="46.3"/>
    <n v="4.2"/>
    <n v="1"/>
    <n v="74.900000000000006"/>
    <n v="91"/>
  </r>
  <r>
    <x v="17"/>
    <x v="17"/>
    <d v="2026-01-24T00:00:00"/>
    <x v="237"/>
    <n v="79"/>
    <n v="4.2"/>
    <n v="1"/>
    <n v="30.4"/>
    <n v="93.5"/>
  </r>
  <r>
    <x v="0"/>
    <x v="0"/>
    <d v="2026-02-12T00:00:00"/>
    <x v="238"/>
    <n v="33.9"/>
    <n v="2.5"/>
    <n v="8"/>
    <n v="70"/>
    <n v="87"/>
  </r>
  <r>
    <x v="11"/>
    <x v="11"/>
    <d v="2026-03-01T00:00:00"/>
    <x v="239"/>
    <n v="36.299999999999997"/>
    <n v="1.6"/>
    <n v="8"/>
    <n v="59.2"/>
    <n v="95.8"/>
  </r>
  <r>
    <x v="9"/>
    <x v="9"/>
    <d v="2026-02-13T00:00:00"/>
    <x v="240"/>
    <n v="86"/>
    <n v="3.5"/>
    <n v="3"/>
    <n v="57.5"/>
    <n v="94.6"/>
  </r>
  <r>
    <x v="15"/>
    <x v="15"/>
    <d v="2026-02-24T00:00:00"/>
    <x v="241"/>
    <n v="89.2"/>
    <n v="3.1"/>
    <n v="3"/>
    <n v="74.2"/>
    <n v="92.2"/>
  </r>
  <r>
    <x v="5"/>
    <x v="5"/>
    <d v="2026-01-01T00:00:00"/>
    <x v="242"/>
    <n v="51.4"/>
    <n v="3.4"/>
    <n v="6"/>
    <n v="43.6"/>
    <n v="95.8"/>
  </r>
  <r>
    <x v="9"/>
    <x v="9"/>
    <d v="2026-02-03T00:00:00"/>
    <x v="243"/>
    <n v="68.900000000000006"/>
    <n v="0.5"/>
    <n v="2"/>
    <n v="50.9"/>
    <n v="87.4"/>
  </r>
  <r>
    <x v="11"/>
    <x v="11"/>
    <d v="2026-02-09T00:00:00"/>
    <x v="244"/>
    <n v="74.099999999999994"/>
    <n v="4.2"/>
    <n v="6"/>
    <n v="57.7"/>
    <n v="88.3"/>
  </r>
  <r>
    <x v="8"/>
    <x v="8"/>
    <d v="2026-03-03T00:00:00"/>
    <x v="245"/>
    <n v="28.4"/>
    <n v="2.8"/>
    <n v="7"/>
    <n v="61.6"/>
    <n v="98.7"/>
  </r>
  <r>
    <x v="2"/>
    <x v="2"/>
    <d v="2026-03-27T00:00:00"/>
    <x v="246"/>
    <n v="79.400000000000006"/>
    <n v="3.1"/>
    <n v="2"/>
    <n v="53.6"/>
    <n v="92.9"/>
  </r>
  <r>
    <x v="4"/>
    <x v="4"/>
    <d v="2026-01-10T00:00:00"/>
    <x v="247"/>
    <n v="135.19999999999999"/>
    <n v="3.8"/>
    <n v="4"/>
    <n v="55.8"/>
    <n v="87.2"/>
  </r>
  <r>
    <x v="7"/>
    <x v="7"/>
    <d v="2026-03-08T00:00:00"/>
    <x v="248"/>
    <n v="52.5"/>
    <n v="3.3"/>
    <n v="8"/>
    <n v="34.1"/>
    <n v="92.7"/>
  </r>
  <r>
    <x v="6"/>
    <x v="6"/>
    <d v="2026-02-28T00:00:00"/>
    <x v="249"/>
    <n v="32.799999999999997"/>
    <n v="2.6"/>
    <n v="8"/>
    <n v="60.3"/>
    <n v="89.6"/>
  </r>
  <r>
    <x v="9"/>
    <x v="9"/>
    <d v="2026-02-20T00:00:00"/>
    <x v="250"/>
    <n v="62"/>
    <n v="1.1000000000000001"/>
    <n v="2"/>
    <n v="32"/>
    <n v="90.2"/>
  </r>
  <r>
    <x v="1"/>
    <x v="1"/>
    <d v="2026-03-11T00:00:00"/>
    <x v="251"/>
    <n v="84.1"/>
    <n v="0.5"/>
    <n v="8"/>
    <n v="31.4"/>
    <n v="91.1"/>
  </r>
  <r>
    <x v="8"/>
    <x v="8"/>
    <d v="2026-03-24T00:00:00"/>
    <x v="252"/>
    <n v="97.3"/>
    <n v="2"/>
    <n v="7"/>
    <n v="50.2"/>
    <n v="98.8"/>
  </r>
  <r>
    <x v="15"/>
    <x v="15"/>
    <d v="2026-02-18T00:00:00"/>
    <x v="253"/>
    <n v="20.3"/>
    <n v="4"/>
    <n v="3"/>
    <n v="59.4"/>
    <n v="90.2"/>
  </r>
  <r>
    <x v="14"/>
    <x v="14"/>
    <d v="2026-03-10T00:00:00"/>
    <x v="254"/>
    <n v="71.7"/>
    <n v="4.4000000000000004"/>
    <n v="1"/>
    <n v="64"/>
    <n v="99.7"/>
  </r>
  <r>
    <x v="13"/>
    <x v="13"/>
    <d v="2026-03-28T00:00:00"/>
    <x v="255"/>
    <n v="87.7"/>
    <n v="1.8"/>
    <n v="4"/>
    <n v="41.1"/>
    <n v="90.2"/>
  </r>
  <r>
    <x v="19"/>
    <x v="19"/>
    <d v="2026-01-25T00:00:00"/>
    <x v="256"/>
    <n v="89.7"/>
    <n v="0.7"/>
    <n v="7"/>
    <n v="57.7"/>
    <n v="99"/>
  </r>
  <r>
    <x v="9"/>
    <x v="9"/>
    <d v="2026-01-31T00:00:00"/>
    <x v="257"/>
    <n v="50.9"/>
    <n v="0.3"/>
    <n v="1"/>
    <n v="41"/>
    <n v="85.7"/>
  </r>
  <r>
    <x v="13"/>
    <x v="13"/>
    <d v="2026-01-30T00:00:00"/>
    <x v="258"/>
    <n v="57.8"/>
    <n v="3.5"/>
    <n v="3"/>
    <n v="52.7"/>
    <n v="89.3"/>
  </r>
  <r>
    <x v="16"/>
    <x v="16"/>
    <d v="2026-02-10T00:00:00"/>
    <x v="259"/>
    <n v="60.1"/>
    <n v="3.7"/>
    <n v="4"/>
    <n v="43.6"/>
    <n v="87.1"/>
  </r>
  <r>
    <x v="11"/>
    <x v="11"/>
    <d v="2026-01-29T00:00:00"/>
    <x v="260"/>
    <n v="65.8"/>
    <n v="2.6"/>
    <n v="3"/>
    <n v="58.2"/>
    <n v="91.4"/>
  </r>
  <r>
    <x v="17"/>
    <x v="17"/>
    <d v="2026-01-07T00:00:00"/>
    <x v="261"/>
    <n v="82.3"/>
    <n v="3.1"/>
    <n v="6"/>
    <n v="61.3"/>
    <n v="91.1"/>
  </r>
  <r>
    <x v="10"/>
    <x v="10"/>
    <d v="2026-02-18T00:00:00"/>
    <x v="262"/>
    <n v="34.799999999999997"/>
    <n v="1.2"/>
    <n v="4"/>
    <n v="43.5"/>
    <n v="95.6"/>
  </r>
  <r>
    <x v="13"/>
    <x v="13"/>
    <d v="2026-01-08T00:00:00"/>
    <x v="263"/>
    <n v="53.2"/>
    <n v="2.6"/>
    <n v="3"/>
    <n v="47.5"/>
    <n v="88.8"/>
  </r>
  <r>
    <x v="7"/>
    <x v="7"/>
    <d v="2026-03-24T00:00:00"/>
    <x v="264"/>
    <n v="27.2"/>
    <n v="1.8"/>
    <n v="4"/>
    <n v="32.299999999999997"/>
    <n v="90.7"/>
  </r>
  <r>
    <x v="18"/>
    <x v="18"/>
    <d v="2026-03-19T00:00:00"/>
    <x v="265"/>
    <n v="31.6"/>
    <n v="3.7"/>
    <n v="4"/>
    <n v="51.6"/>
    <n v="98"/>
  </r>
  <r>
    <x v="7"/>
    <x v="7"/>
    <d v="2026-02-08T00:00:00"/>
    <x v="266"/>
    <n v="152.80000000000001"/>
    <n v="4.2"/>
    <n v="2"/>
    <n v="63.6"/>
    <n v="96.3"/>
  </r>
  <r>
    <x v="5"/>
    <x v="5"/>
    <d v="2026-03-31T00:00:00"/>
    <x v="267"/>
    <n v="90.6"/>
    <n v="4.0999999999999996"/>
    <n v="6"/>
    <n v="64.900000000000006"/>
    <n v="90.7"/>
  </r>
  <r>
    <x v="2"/>
    <x v="2"/>
    <d v="2026-03-25T00:00:00"/>
    <x v="268"/>
    <n v="60.7"/>
    <n v="2.4"/>
    <n v="8"/>
    <n v="51"/>
    <n v="97"/>
  </r>
  <r>
    <x v="17"/>
    <x v="17"/>
    <d v="2026-02-10T00:00:00"/>
    <x v="269"/>
    <n v="110.1"/>
    <n v="2"/>
    <n v="4"/>
    <n v="63.4"/>
    <n v="85.2"/>
  </r>
  <r>
    <x v="2"/>
    <x v="2"/>
    <d v="2026-03-16T00:00:00"/>
    <x v="270"/>
    <n v="74.900000000000006"/>
    <n v="0.9"/>
    <n v="6"/>
    <n v="40.4"/>
    <n v="93.5"/>
  </r>
  <r>
    <x v="5"/>
    <x v="5"/>
    <d v="2026-03-05T00:00:00"/>
    <x v="271"/>
    <n v="53.1"/>
    <n v="1.7"/>
    <n v="8"/>
    <n v="73.5"/>
    <n v="94.6"/>
  </r>
  <r>
    <x v="17"/>
    <x v="17"/>
    <d v="2026-02-28T00:00:00"/>
    <x v="272"/>
    <n v="28.7"/>
    <n v="0.9"/>
    <n v="8"/>
    <n v="38.299999999999997"/>
    <n v="98.3"/>
  </r>
  <r>
    <x v="6"/>
    <x v="6"/>
    <d v="2026-03-09T00:00:00"/>
    <x v="273"/>
    <n v="18.2"/>
    <n v="4.3"/>
    <n v="1"/>
    <n v="64.400000000000006"/>
    <n v="91.2"/>
  </r>
  <r>
    <x v="5"/>
    <x v="5"/>
    <d v="2026-01-09T00:00:00"/>
    <x v="274"/>
    <n v="121"/>
    <n v="2.4"/>
    <n v="6"/>
    <n v="32.700000000000003"/>
    <n v="94.6"/>
  </r>
  <r>
    <x v="18"/>
    <x v="18"/>
    <d v="2026-03-03T00:00:00"/>
    <x v="275"/>
    <n v="113.9"/>
    <n v="2.5"/>
    <n v="7"/>
    <n v="30.5"/>
    <n v="92.9"/>
  </r>
  <r>
    <x v="19"/>
    <x v="19"/>
    <d v="2026-03-10T00:00:00"/>
    <x v="276"/>
    <n v="155.19999999999999"/>
    <n v="3.7"/>
    <n v="7"/>
    <n v="66.3"/>
    <n v="98.6"/>
  </r>
  <r>
    <x v="0"/>
    <x v="0"/>
    <d v="2026-01-13T00:00:00"/>
    <x v="277"/>
    <n v="79.400000000000006"/>
    <n v="2.9"/>
    <n v="5"/>
    <n v="66.7"/>
    <n v="89"/>
  </r>
  <r>
    <x v="15"/>
    <x v="15"/>
    <d v="2026-01-11T00:00:00"/>
    <x v="278"/>
    <n v="56"/>
    <n v="2.6"/>
    <n v="4"/>
    <n v="43.5"/>
    <n v="97.4"/>
  </r>
  <r>
    <x v="1"/>
    <x v="1"/>
    <d v="2026-03-25T00:00:00"/>
    <x v="279"/>
    <n v="98.1"/>
    <n v="0.3"/>
    <n v="7"/>
    <n v="47.1"/>
    <n v="93.3"/>
  </r>
  <r>
    <x v="6"/>
    <x v="6"/>
    <d v="2026-03-23T00:00:00"/>
    <x v="116"/>
    <n v="25.6"/>
    <n v="2.2999999999999998"/>
    <n v="7"/>
    <n v="59"/>
    <n v="90"/>
  </r>
  <r>
    <x v="0"/>
    <x v="0"/>
    <d v="2026-03-09T00:00:00"/>
    <x v="280"/>
    <n v="122.8"/>
    <n v="4.0999999999999996"/>
    <n v="8"/>
    <n v="42.2"/>
    <n v="98.9"/>
  </r>
  <r>
    <x v="19"/>
    <x v="19"/>
    <d v="2026-03-11T00:00:00"/>
    <x v="281"/>
    <n v="99.9"/>
    <n v="4.2"/>
    <n v="6"/>
    <n v="30.7"/>
    <n v="88.1"/>
  </r>
  <r>
    <x v="8"/>
    <x v="8"/>
    <d v="2026-02-20T00:00:00"/>
    <x v="282"/>
    <n v="117.4"/>
    <n v="2.6"/>
    <n v="7"/>
    <n v="60.5"/>
    <n v="93.1"/>
  </r>
  <r>
    <x v="15"/>
    <x v="15"/>
    <d v="2026-01-18T00:00:00"/>
    <x v="283"/>
    <n v="79.900000000000006"/>
    <n v="0.5"/>
    <n v="6"/>
    <n v="32.4"/>
    <n v="91.6"/>
  </r>
  <r>
    <x v="1"/>
    <x v="1"/>
    <d v="2026-02-13T00:00:00"/>
    <x v="163"/>
    <n v="68.2"/>
    <n v="2.8"/>
    <n v="6"/>
    <n v="31.3"/>
    <n v="89.1"/>
  </r>
  <r>
    <x v="13"/>
    <x v="13"/>
    <d v="2026-03-04T00:00:00"/>
    <x v="284"/>
    <n v="38.299999999999997"/>
    <n v="1.8"/>
    <n v="3"/>
    <n v="60.6"/>
    <n v="94.9"/>
  </r>
  <r>
    <x v="1"/>
    <x v="1"/>
    <d v="2026-03-21T00:00:00"/>
    <x v="285"/>
    <n v="54.6"/>
    <n v="0.5"/>
    <n v="5"/>
    <n v="36.9"/>
    <n v="95.7"/>
  </r>
  <r>
    <x v="8"/>
    <x v="8"/>
    <d v="2026-02-19T00:00:00"/>
    <x v="286"/>
    <n v="63.9"/>
    <n v="0.2"/>
    <n v="5"/>
    <n v="50"/>
    <n v="96.4"/>
  </r>
  <r>
    <x v="0"/>
    <x v="0"/>
    <d v="2026-01-17T00:00:00"/>
    <x v="287"/>
    <n v="28.3"/>
    <n v="2.6"/>
    <n v="7"/>
    <n v="34.6"/>
    <n v="86.3"/>
  </r>
  <r>
    <x v="2"/>
    <x v="2"/>
    <d v="2026-01-12T00:00:00"/>
    <x v="288"/>
    <n v="61.2"/>
    <n v="3.9"/>
    <n v="1"/>
    <n v="43.1"/>
    <n v="90.8"/>
  </r>
  <r>
    <x v="1"/>
    <x v="1"/>
    <d v="2026-03-13T00:00:00"/>
    <x v="289"/>
    <n v="76.3"/>
    <n v="2.7"/>
    <n v="3"/>
    <n v="60.8"/>
    <n v="87.5"/>
  </r>
  <r>
    <x v="19"/>
    <x v="19"/>
    <d v="2026-02-08T00:00:00"/>
    <x v="290"/>
    <n v="56.1"/>
    <n v="0.9"/>
    <n v="5"/>
    <n v="48.9"/>
    <n v="92.3"/>
  </r>
  <r>
    <x v="1"/>
    <x v="1"/>
    <d v="2026-02-16T00:00:00"/>
    <x v="291"/>
    <n v="49.9"/>
    <n v="2.9"/>
    <n v="4"/>
    <n v="50.6"/>
    <n v="87"/>
  </r>
  <r>
    <x v="9"/>
    <x v="9"/>
    <d v="2026-02-20T00:00:00"/>
    <x v="292"/>
    <n v="45.3"/>
    <n v="3.7"/>
    <n v="6"/>
    <n v="49.8"/>
    <n v="91.5"/>
  </r>
  <r>
    <x v="18"/>
    <x v="18"/>
    <d v="2026-01-18T00:00:00"/>
    <x v="293"/>
    <n v="43.2"/>
    <n v="3.2"/>
    <n v="8"/>
    <n v="44.1"/>
    <n v="99.5"/>
  </r>
  <r>
    <x v="7"/>
    <x v="7"/>
    <d v="2026-02-07T00:00:00"/>
    <x v="294"/>
    <n v="78"/>
    <n v="4.4000000000000004"/>
    <n v="4"/>
    <n v="44.7"/>
    <n v="89.2"/>
  </r>
  <r>
    <x v="15"/>
    <x v="15"/>
    <d v="2026-02-16T00:00:00"/>
    <x v="136"/>
    <n v="28.2"/>
    <n v="2.7"/>
    <n v="3"/>
    <n v="60.7"/>
    <n v="93.3"/>
  </r>
  <r>
    <x v="13"/>
    <x v="13"/>
    <d v="2026-01-27T00:00:00"/>
    <x v="295"/>
    <n v="67.5"/>
    <n v="3.2"/>
    <n v="7"/>
    <n v="60.3"/>
    <n v="87.1"/>
  </r>
  <r>
    <x v="10"/>
    <x v="10"/>
    <d v="2026-01-31T00:00:00"/>
    <x v="296"/>
    <n v="53.9"/>
    <n v="2"/>
    <n v="7"/>
    <n v="33.299999999999997"/>
    <n v="99.9"/>
  </r>
  <r>
    <x v="17"/>
    <x v="17"/>
    <d v="2026-03-16T00:00:00"/>
    <x v="297"/>
    <n v="54.8"/>
    <n v="4.2"/>
    <n v="7"/>
    <n v="54.5"/>
    <n v="96.9"/>
  </r>
  <r>
    <x v="4"/>
    <x v="4"/>
    <d v="2026-03-31T00:00:00"/>
    <x v="298"/>
    <n v="96.8"/>
    <n v="2.9"/>
    <n v="2"/>
    <n v="34.9"/>
    <n v="88.7"/>
  </r>
  <r>
    <x v="4"/>
    <x v="4"/>
    <d v="2026-01-22T00:00:00"/>
    <x v="299"/>
    <n v="109.4"/>
    <n v="4.4000000000000004"/>
    <n v="7"/>
    <n v="73.5"/>
    <n v="90"/>
  </r>
  <r>
    <x v="3"/>
    <x v="3"/>
    <d v="2026-01-14T00:00:00"/>
    <x v="300"/>
    <n v="24"/>
    <n v="2.4"/>
    <n v="4"/>
    <n v="50.1"/>
    <n v="90.9"/>
  </r>
  <r>
    <x v="16"/>
    <x v="16"/>
    <d v="2026-03-30T00:00:00"/>
    <x v="301"/>
    <n v="71.099999999999994"/>
    <n v="0.3"/>
    <n v="2"/>
    <n v="43.3"/>
    <n v="98.8"/>
  </r>
  <r>
    <x v="1"/>
    <x v="1"/>
    <d v="2026-01-15T00:00:00"/>
    <x v="302"/>
    <n v="81.2"/>
    <n v="1.7"/>
    <n v="6"/>
    <n v="50.5"/>
    <n v="88.1"/>
  </r>
  <r>
    <x v="17"/>
    <x v="17"/>
    <d v="2026-02-14T00:00:00"/>
    <x v="303"/>
    <n v="64.3"/>
    <n v="3.2"/>
    <n v="6"/>
    <n v="33"/>
    <n v="85.7"/>
  </r>
  <r>
    <x v="0"/>
    <x v="0"/>
    <d v="2026-01-03T00:00:00"/>
    <x v="304"/>
    <n v="86.6"/>
    <n v="3.1"/>
    <n v="3"/>
    <n v="71.8"/>
    <n v="96.1"/>
  </r>
  <r>
    <x v="11"/>
    <x v="11"/>
    <d v="2026-01-23T00:00:00"/>
    <x v="305"/>
    <n v="76.900000000000006"/>
    <n v="2"/>
    <n v="8"/>
    <n v="40.4"/>
    <n v="91.1"/>
  </r>
  <r>
    <x v="14"/>
    <x v="14"/>
    <d v="2026-01-24T00:00:00"/>
    <x v="306"/>
    <n v="79.900000000000006"/>
    <n v="0.3"/>
    <n v="4"/>
    <n v="50.2"/>
    <n v="91.4"/>
  </r>
  <r>
    <x v="9"/>
    <x v="9"/>
    <d v="2026-01-28T00:00:00"/>
    <x v="307"/>
    <n v="32.299999999999997"/>
    <n v="3.7"/>
    <n v="2"/>
    <n v="56"/>
    <n v="97"/>
  </r>
  <r>
    <x v="2"/>
    <x v="2"/>
    <d v="2026-01-24T00:00:00"/>
    <x v="125"/>
    <n v="64.599999999999994"/>
    <n v="0.7"/>
    <n v="8"/>
    <n v="53.7"/>
    <n v="94.6"/>
  </r>
  <r>
    <x v="18"/>
    <x v="18"/>
    <d v="2026-02-19T00:00:00"/>
    <x v="308"/>
    <n v="69.8"/>
    <n v="1.7"/>
    <n v="8"/>
    <n v="57.8"/>
    <n v="97.2"/>
  </r>
  <r>
    <x v="10"/>
    <x v="10"/>
    <d v="2026-03-20T00:00:00"/>
    <x v="309"/>
    <n v="64.7"/>
    <n v="2.2999999999999998"/>
    <n v="4"/>
    <n v="43.7"/>
    <n v="87.7"/>
  </r>
  <r>
    <x v="8"/>
    <x v="8"/>
    <d v="2026-03-07T00:00:00"/>
    <x v="310"/>
    <n v="50.7"/>
    <n v="2.7"/>
    <n v="7"/>
    <n v="38.4"/>
    <n v="94.5"/>
  </r>
  <r>
    <x v="14"/>
    <x v="14"/>
    <d v="2026-03-13T00:00:00"/>
    <x v="311"/>
    <n v="39.6"/>
    <n v="1"/>
    <n v="8"/>
    <n v="57.9"/>
    <n v="98"/>
  </r>
  <r>
    <x v="9"/>
    <x v="9"/>
    <d v="2026-03-04T00:00:00"/>
    <x v="312"/>
    <n v="26.1"/>
    <n v="4.3"/>
    <n v="8"/>
    <n v="48.4"/>
    <n v="92.4"/>
  </r>
  <r>
    <x v="13"/>
    <x v="13"/>
    <d v="2026-03-04T00:00:00"/>
    <x v="313"/>
    <n v="32.799999999999997"/>
    <n v="3.6"/>
    <n v="4"/>
    <n v="43.1"/>
    <n v="89.1"/>
  </r>
  <r>
    <x v="2"/>
    <x v="2"/>
    <d v="2026-02-06T00:00:00"/>
    <x v="272"/>
    <n v="35.200000000000003"/>
    <n v="3.4"/>
    <n v="8"/>
    <n v="54.7"/>
    <n v="86.7"/>
  </r>
  <r>
    <x v="0"/>
    <x v="0"/>
    <d v="2026-02-04T00:00:00"/>
    <x v="314"/>
    <n v="73"/>
    <n v="1.8"/>
    <n v="1"/>
    <n v="64.2"/>
    <n v="91.6"/>
  </r>
  <r>
    <x v="12"/>
    <x v="12"/>
    <d v="2026-02-24T00:00:00"/>
    <x v="315"/>
    <n v="23.4"/>
    <n v="3.4"/>
    <n v="5"/>
    <n v="69.400000000000006"/>
    <n v="85.5"/>
  </r>
  <r>
    <x v="19"/>
    <x v="19"/>
    <d v="2026-02-14T00:00:00"/>
    <x v="316"/>
    <n v="131.5"/>
    <n v="3.9"/>
    <n v="2"/>
    <n v="64.900000000000006"/>
    <n v="88.6"/>
  </r>
  <r>
    <x v="16"/>
    <x v="16"/>
    <d v="2026-03-30T00:00:00"/>
    <x v="317"/>
    <n v="44.4"/>
    <n v="2.9"/>
    <n v="3"/>
    <n v="57.7"/>
    <n v="96.8"/>
  </r>
  <r>
    <x v="12"/>
    <x v="12"/>
    <d v="2026-01-08T00:00:00"/>
    <x v="318"/>
    <n v="68.7"/>
    <n v="2.8"/>
    <n v="3"/>
    <n v="44.6"/>
    <n v="95.6"/>
  </r>
  <r>
    <x v="10"/>
    <x v="10"/>
    <d v="2026-03-15T00:00:00"/>
    <x v="319"/>
    <n v="35"/>
    <n v="4.4000000000000004"/>
    <n v="2"/>
    <n v="36.1"/>
    <n v="96.3"/>
  </r>
  <r>
    <x v="3"/>
    <x v="3"/>
    <d v="2026-01-08T00:00:00"/>
    <x v="320"/>
    <n v="87"/>
    <n v="0.7"/>
    <n v="3"/>
    <n v="41.2"/>
    <n v="95.7"/>
  </r>
  <r>
    <x v="5"/>
    <x v="5"/>
    <d v="2026-03-28T00:00:00"/>
    <x v="321"/>
    <n v="70.8"/>
    <n v="2.9"/>
    <n v="7"/>
    <n v="46.9"/>
    <n v="86.1"/>
  </r>
  <r>
    <x v="1"/>
    <x v="1"/>
    <d v="2026-02-21T00:00:00"/>
    <x v="322"/>
    <n v="76.3"/>
    <n v="4.2"/>
    <n v="6"/>
    <n v="50.5"/>
    <n v="92.3"/>
  </r>
  <r>
    <x v="16"/>
    <x v="16"/>
    <d v="2026-01-01T00:00:00"/>
    <x v="323"/>
    <n v="78.900000000000006"/>
    <n v="0.6"/>
    <n v="8"/>
    <n v="58.6"/>
    <n v="95.5"/>
  </r>
  <r>
    <x v="1"/>
    <x v="1"/>
    <d v="2026-03-10T00:00:00"/>
    <x v="324"/>
    <n v="42"/>
    <n v="3.7"/>
    <n v="8"/>
    <n v="42.1"/>
    <n v="97.4"/>
  </r>
  <r>
    <x v="7"/>
    <x v="7"/>
    <d v="2026-03-12T00:00:00"/>
    <x v="325"/>
    <n v="67.900000000000006"/>
    <n v="2.2999999999999998"/>
    <n v="6"/>
    <n v="70.2"/>
    <n v="96.4"/>
  </r>
  <r>
    <x v="6"/>
    <x v="6"/>
    <d v="2026-01-13T00:00:00"/>
    <x v="326"/>
    <n v="61.6"/>
    <n v="0.3"/>
    <n v="3"/>
    <n v="49.9"/>
    <n v="85"/>
  </r>
  <r>
    <x v="3"/>
    <x v="3"/>
    <d v="2026-01-26T00:00:00"/>
    <x v="327"/>
    <n v="85.3"/>
    <n v="4"/>
    <n v="5"/>
    <n v="37.200000000000003"/>
    <n v="99"/>
  </r>
  <r>
    <x v="19"/>
    <x v="19"/>
    <d v="2026-01-12T00:00:00"/>
    <x v="328"/>
    <n v="92.7"/>
    <n v="1.8"/>
    <n v="3"/>
    <n v="32.299999999999997"/>
    <n v="94.4"/>
  </r>
  <r>
    <x v="5"/>
    <x v="5"/>
    <d v="2026-02-24T00:00:00"/>
    <x v="10"/>
    <n v="68.599999999999994"/>
    <n v="0.2"/>
    <n v="8"/>
    <n v="33.5"/>
    <n v="93.9"/>
  </r>
  <r>
    <x v="11"/>
    <x v="11"/>
    <d v="2026-03-29T00:00:00"/>
    <x v="329"/>
    <n v="86.7"/>
    <n v="1.7"/>
    <n v="2"/>
    <n v="74.5"/>
    <n v="91.3"/>
  </r>
  <r>
    <x v="8"/>
    <x v="8"/>
    <d v="2026-03-03T00:00:00"/>
    <x v="330"/>
    <n v="27.7"/>
    <n v="3.3"/>
    <n v="2"/>
    <n v="34.6"/>
    <n v="90.5"/>
  </r>
  <r>
    <x v="10"/>
    <x v="10"/>
    <d v="2026-01-18T00:00:00"/>
    <x v="331"/>
    <n v="44.4"/>
    <n v="4"/>
    <n v="3"/>
    <n v="33.1"/>
    <n v="93.4"/>
  </r>
  <r>
    <x v="18"/>
    <x v="18"/>
    <d v="2026-03-25T00:00:00"/>
    <x v="332"/>
    <n v="37.5"/>
    <n v="1.1000000000000001"/>
    <n v="3"/>
    <n v="71.400000000000006"/>
    <n v="94.2"/>
  </r>
  <r>
    <x v="13"/>
    <x v="13"/>
    <d v="2026-01-28T00:00:00"/>
    <x v="333"/>
    <n v="36.5"/>
    <n v="3.4"/>
    <n v="7"/>
    <n v="45.8"/>
    <n v="91.4"/>
  </r>
  <r>
    <x v="8"/>
    <x v="8"/>
    <d v="2026-02-01T00:00:00"/>
    <x v="334"/>
    <n v="60.3"/>
    <n v="2.6"/>
    <n v="5"/>
    <n v="65.099999999999994"/>
    <n v="95.4"/>
  </r>
  <r>
    <x v="10"/>
    <x v="10"/>
    <d v="2026-01-27T00:00:00"/>
    <x v="335"/>
    <n v="65"/>
    <n v="3.4"/>
    <n v="5"/>
    <n v="59.1"/>
    <n v="96.8"/>
  </r>
  <r>
    <x v="5"/>
    <x v="5"/>
    <d v="2026-03-05T00:00:00"/>
    <x v="336"/>
    <n v="64.599999999999994"/>
    <n v="2.9"/>
    <n v="2"/>
    <n v="53.8"/>
    <n v="99.7"/>
  </r>
  <r>
    <x v="4"/>
    <x v="4"/>
    <d v="2026-02-10T00:00:00"/>
    <x v="249"/>
    <n v="25.1"/>
    <n v="2.6"/>
    <n v="6"/>
    <n v="54.6"/>
    <n v="87.6"/>
  </r>
  <r>
    <x v="17"/>
    <x v="17"/>
    <d v="2026-01-10T00:00:00"/>
    <x v="337"/>
    <n v="28.9"/>
    <n v="1.3"/>
    <n v="1"/>
    <n v="71.5"/>
    <n v="92"/>
  </r>
  <r>
    <x v="15"/>
    <x v="15"/>
    <d v="2026-03-06T00:00:00"/>
    <x v="338"/>
    <n v="39.4"/>
    <n v="3.5"/>
    <n v="7"/>
    <n v="61.6"/>
    <n v="86.2"/>
  </r>
  <r>
    <x v="2"/>
    <x v="2"/>
    <d v="2026-03-10T00:00:00"/>
    <x v="339"/>
    <n v="86.8"/>
    <n v="1.5"/>
    <n v="4"/>
    <n v="73.8"/>
    <n v="87.3"/>
  </r>
  <r>
    <x v="7"/>
    <x v="7"/>
    <d v="2026-02-20T00:00:00"/>
    <x v="340"/>
    <n v="61.1"/>
    <n v="3"/>
    <n v="2"/>
    <n v="44"/>
    <n v="91.6"/>
  </r>
  <r>
    <x v="5"/>
    <x v="5"/>
    <d v="2026-01-08T00:00:00"/>
    <x v="341"/>
    <n v="32.200000000000003"/>
    <n v="0.7"/>
    <n v="1"/>
    <n v="43.9"/>
    <n v="96.1"/>
  </r>
  <r>
    <x v="14"/>
    <x v="14"/>
    <d v="2026-01-16T00:00:00"/>
    <x v="342"/>
    <n v="26.7"/>
    <n v="0.2"/>
    <n v="8"/>
    <n v="72.900000000000006"/>
    <n v="92.8"/>
  </r>
  <r>
    <x v="19"/>
    <x v="19"/>
    <d v="2026-01-22T00:00:00"/>
    <x v="343"/>
    <n v="65"/>
    <n v="4"/>
    <n v="2"/>
    <n v="64.7"/>
    <n v="85.4"/>
  </r>
  <r>
    <x v="3"/>
    <x v="3"/>
    <d v="2026-02-04T00:00:00"/>
    <x v="344"/>
    <n v="78"/>
    <n v="4.4000000000000004"/>
    <n v="2"/>
    <n v="52.3"/>
    <n v="92.7"/>
  </r>
  <r>
    <x v="6"/>
    <x v="6"/>
    <d v="2026-03-05T00:00:00"/>
    <x v="345"/>
    <n v="122.4"/>
    <n v="0.9"/>
    <n v="2"/>
    <n v="70.2"/>
    <n v="95.1"/>
  </r>
  <r>
    <x v="0"/>
    <x v="0"/>
    <d v="2026-01-30T00:00:00"/>
    <x v="346"/>
    <n v="126.2"/>
    <n v="3.9"/>
    <n v="1"/>
    <n v="41"/>
    <n v="92.1"/>
  </r>
  <r>
    <x v="15"/>
    <x v="15"/>
    <d v="2026-01-20T00:00:00"/>
    <x v="347"/>
    <n v="27.1"/>
    <n v="0.4"/>
    <n v="7"/>
    <n v="40.1"/>
    <n v="88.7"/>
  </r>
  <r>
    <x v="7"/>
    <x v="7"/>
    <d v="2026-02-04T00:00:00"/>
    <x v="348"/>
    <n v="88.8"/>
    <n v="0.7"/>
    <n v="1"/>
    <n v="38.1"/>
    <n v="97.1"/>
  </r>
  <r>
    <x v="6"/>
    <x v="6"/>
    <d v="2026-02-21T00:00:00"/>
    <x v="349"/>
    <n v="26"/>
    <n v="1.4"/>
    <n v="5"/>
    <n v="44.7"/>
    <n v="93.3"/>
  </r>
  <r>
    <x v="9"/>
    <x v="9"/>
    <d v="2026-02-17T00:00:00"/>
    <x v="350"/>
    <n v="35.700000000000003"/>
    <n v="1.5"/>
    <n v="4"/>
    <n v="50.9"/>
    <n v="93.9"/>
  </r>
  <r>
    <x v="17"/>
    <x v="17"/>
    <d v="2026-01-26T00:00:00"/>
    <x v="351"/>
    <n v="82.1"/>
    <n v="3.6"/>
    <n v="3"/>
    <n v="30.3"/>
    <n v="91.2"/>
  </r>
  <r>
    <x v="5"/>
    <x v="5"/>
    <d v="2026-03-11T00:00:00"/>
    <x v="352"/>
    <n v="41.1"/>
    <n v="4"/>
    <n v="6"/>
    <n v="30.1"/>
    <n v="94.9"/>
  </r>
  <r>
    <x v="10"/>
    <x v="10"/>
    <d v="2026-01-14T00:00:00"/>
    <x v="353"/>
    <n v="28.6"/>
    <n v="2"/>
    <n v="1"/>
    <n v="73.8"/>
    <n v="87.1"/>
  </r>
  <r>
    <x v="19"/>
    <x v="19"/>
    <d v="2026-01-12T00:00:00"/>
    <x v="354"/>
    <n v="28.1"/>
    <n v="3.8"/>
    <n v="7"/>
    <n v="61.5"/>
    <n v="90.6"/>
  </r>
  <r>
    <x v="1"/>
    <x v="1"/>
    <d v="2026-03-16T00:00:00"/>
    <x v="355"/>
    <n v="36.5"/>
    <n v="3.7"/>
    <n v="2"/>
    <n v="56.6"/>
    <n v="85.9"/>
  </r>
  <r>
    <x v="8"/>
    <x v="8"/>
    <d v="2026-01-31T00:00:00"/>
    <x v="356"/>
    <n v="36.9"/>
    <n v="4.2"/>
    <n v="7"/>
    <n v="61.5"/>
    <n v="96"/>
  </r>
  <r>
    <x v="7"/>
    <x v="7"/>
    <d v="2026-02-27T00:00:00"/>
    <x v="357"/>
    <n v="60.2"/>
    <n v="1.1000000000000001"/>
    <n v="2"/>
    <n v="37"/>
    <n v="87.5"/>
  </r>
  <r>
    <x v="13"/>
    <x v="13"/>
    <d v="2026-02-10T00:00:00"/>
    <x v="358"/>
    <n v="54.3"/>
    <n v="2.2999999999999998"/>
    <n v="4"/>
    <n v="50.3"/>
    <n v="92"/>
  </r>
  <r>
    <x v="0"/>
    <x v="0"/>
    <d v="2026-01-12T00:00:00"/>
    <x v="359"/>
    <n v="29.7"/>
    <n v="3.8"/>
    <n v="1"/>
    <n v="39.700000000000003"/>
    <n v="97.8"/>
  </r>
  <r>
    <x v="8"/>
    <x v="8"/>
    <d v="2026-01-12T00:00:00"/>
    <x v="360"/>
    <n v="63.4"/>
    <n v="1.9"/>
    <n v="1"/>
    <n v="60.5"/>
    <n v="88.9"/>
  </r>
  <r>
    <x v="14"/>
    <x v="14"/>
    <d v="2026-01-04T00:00:00"/>
    <x v="361"/>
    <n v="84.6"/>
    <n v="2.6"/>
    <n v="4"/>
    <n v="34.299999999999997"/>
    <n v="86.5"/>
  </r>
  <r>
    <x v="8"/>
    <x v="8"/>
    <d v="2026-01-16T00:00:00"/>
    <x v="362"/>
    <n v="16.7"/>
    <n v="4.4000000000000004"/>
    <n v="3"/>
    <n v="38.9"/>
    <n v="91"/>
  </r>
  <r>
    <x v="1"/>
    <x v="1"/>
    <d v="2026-03-16T00:00:00"/>
    <x v="363"/>
    <n v="56.3"/>
    <n v="0.5"/>
    <n v="2"/>
    <n v="38.9"/>
    <n v="94.7"/>
  </r>
  <r>
    <x v="8"/>
    <x v="8"/>
    <d v="2026-01-12T00:00:00"/>
    <x v="289"/>
    <n v="82.3"/>
    <n v="1.6"/>
    <n v="1"/>
    <n v="72.400000000000006"/>
    <n v="85.8"/>
  </r>
  <r>
    <x v="16"/>
    <x v="16"/>
    <d v="2026-02-25T00:00:00"/>
    <x v="364"/>
    <n v="99.3"/>
    <n v="0.3"/>
    <n v="7"/>
    <n v="37.799999999999997"/>
    <n v="88.2"/>
  </r>
  <r>
    <x v="14"/>
    <x v="14"/>
    <d v="2026-02-05T00:00:00"/>
    <x v="77"/>
    <n v="35.4"/>
    <n v="0.3"/>
    <n v="4"/>
    <n v="59.1"/>
    <n v="92.5"/>
  </r>
  <r>
    <x v="2"/>
    <x v="2"/>
    <d v="2026-03-03T00:00:00"/>
    <x v="365"/>
    <n v="28.9"/>
    <n v="0.8"/>
    <n v="4"/>
    <n v="58.9"/>
    <n v="97"/>
  </r>
  <r>
    <x v="5"/>
    <x v="5"/>
    <d v="2026-03-22T00:00:00"/>
    <x v="251"/>
    <n v="104.9"/>
    <n v="0.3"/>
    <n v="7"/>
    <n v="65.2"/>
    <n v="90.4"/>
  </r>
  <r>
    <x v="2"/>
    <x v="2"/>
    <d v="2026-03-04T00:00:00"/>
    <x v="366"/>
    <n v="47.9"/>
    <n v="1.6"/>
    <n v="5"/>
    <n v="38.1"/>
    <n v="89.8"/>
  </r>
  <r>
    <x v="5"/>
    <x v="5"/>
    <d v="2026-01-04T00:00:00"/>
    <x v="230"/>
    <n v="83.9"/>
    <n v="0.5"/>
    <n v="8"/>
    <n v="53.8"/>
    <n v="96.5"/>
  </r>
  <r>
    <x v="5"/>
    <x v="5"/>
    <d v="2026-01-21T00:00:00"/>
    <x v="367"/>
    <n v="25.6"/>
    <n v="1.3"/>
    <n v="1"/>
    <n v="64.400000000000006"/>
    <n v="99.2"/>
  </r>
  <r>
    <x v="16"/>
    <x v="16"/>
    <d v="2026-02-19T00:00:00"/>
    <x v="368"/>
    <n v="41.7"/>
    <n v="3.8"/>
    <n v="3"/>
    <n v="40.6"/>
    <n v="89.8"/>
  </r>
  <r>
    <x v="4"/>
    <x v="4"/>
    <d v="2026-03-17T00:00:00"/>
    <x v="369"/>
    <n v="19.3"/>
    <n v="4.3"/>
    <n v="3"/>
    <n v="55.3"/>
    <n v="87.8"/>
  </r>
  <r>
    <x v="17"/>
    <x v="17"/>
    <d v="2026-03-11T00:00:00"/>
    <x v="370"/>
    <n v="47.1"/>
    <n v="0.6"/>
    <n v="4"/>
    <n v="57.1"/>
    <n v="85.3"/>
  </r>
  <r>
    <x v="17"/>
    <x v="17"/>
    <d v="2026-01-01T00:00:00"/>
    <x v="371"/>
    <n v="45.5"/>
    <n v="3.7"/>
    <n v="6"/>
    <n v="62.3"/>
    <n v="98.8"/>
  </r>
  <r>
    <x v="7"/>
    <x v="7"/>
    <d v="2026-01-08T00:00:00"/>
    <x v="372"/>
    <n v="20.100000000000001"/>
    <n v="4.0999999999999996"/>
    <n v="2"/>
    <n v="68.099999999999994"/>
    <n v="97.9"/>
  </r>
  <r>
    <x v="1"/>
    <x v="1"/>
    <d v="2026-02-17T00:00:00"/>
    <x v="373"/>
    <n v="74.3"/>
    <n v="2.7"/>
    <n v="6"/>
    <n v="43.6"/>
    <n v="87"/>
  </r>
  <r>
    <x v="14"/>
    <x v="14"/>
    <d v="2026-02-25T00:00:00"/>
    <x v="374"/>
    <n v="69.2"/>
    <n v="3"/>
    <n v="3"/>
    <n v="61.8"/>
    <n v="93.4"/>
  </r>
  <r>
    <x v="18"/>
    <x v="18"/>
    <d v="2026-02-15T00:00:00"/>
    <x v="375"/>
    <n v="37"/>
    <n v="1"/>
    <n v="5"/>
    <n v="63"/>
    <n v="89.4"/>
  </r>
  <r>
    <x v="14"/>
    <x v="14"/>
    <d v="2026-01-01T00:00:00"/>
    <x v="376"/>
    <n v="80.400000000000006"/>
    <n v="1.9"/>
    <n v="1"/>
    <n v="38.200000000000003"/>
    <n v="89.8"/>
  </r>
  <r>
    <x v="18"/>
    <x v="18"/>
    <d v="2026-01-29T00:00:00"/>
    <x v="377"/>
    <n v="102.8"/>
    <n v="2.2999999999999998"/>
    <n v="6"/>
    <n v="63.5"/>
    <n v="88.6"/>
  </r>
  <r>
    <x v="7"/>
    <x v="7"/>
    <d v="2026-01-22T00:00:00"/>
    <x v="378"/>
    <n v="58.4"/>
    <n v="3.7"/>
    <n v="6"/>
    <n v="50.1"/>
    <n v="89"/>
  </r>
  <r>
    <x v="5"/>
    <x v="5"/>
    <d v="2026-03-30T00:00:00"/>
    <x v="379"/>
    <n v="30.1"/>
    <n v="0.7"/>
    <n v="1"/>
    <n v="32.200000000000003"/>
    <n v="91.6"/>
  </r>
  <r>
    <x v="3"/>
    <x v="3"/>
    <d v="2026-01-22T00:00:00"/>
    <x v="380"/>
    <n v="98.6"/>
    <n v="1.8"/>
    <n v="7"/>
    <n v="34.6"/>
    <n v="92.2"/>
  </r>
  <r>
    <x v="16"/>
    <x v="16"/>
    <d v="2026-03-25T00:00:00"/>
    <x v="381"/>
    <n v="105.8"/>
    <n v="2.1"/>
    <n v="1"/>
    <n v="43.3"/>
    <n v="89.8"/>
  </r>
  <r>
    <x v="0"/>
    <x v="0"/>
    <d v="2026-01-10T00:00:00"/>
    <x v="382"/>
    <n v="39.700000000000003"/>
    <n v="0.9"/>
    <n v="2"/>
    <n v="54.6"/>
    <n v="98.5"/>
  </r>
  <r>
    <x v="1"/>
    <x v="1"/>
    <d v="2026-02-13T00:00:00"/>
    <x v="162"/>
    <n v="67.3"/>
    <n v="2.2999999999999998"/>
    <n v="1"/>
    <n v="49.4"/>
    <n v="94.8"/>
  </r>
  <r>
    <x v="18"/>
    <x v="18"/>
    <d v="2026-02-25T00:00:00"/>
    <x v="383"/>
    <n v="44.9"/>
    <n v="1.1000000000000001"/>
    <n v="4"/>
    <n v="48.4"/>
    <n v="93.3"/>
  </r>
  <r>
    <x v="2"/>
    <x v="2"/>
    <d v="2026-02-03T00:00:00"/>
    <x v="384"/>
    <n v="90"/>
    <n v="0.6"/>
    <n v="7"/>
    <n v="55.7"/>
    <n v="97.6"/>
  </r>
  <r>
    <x v="8"/>
    <x v="8"/>
    <d v="2026-01-07T00:00:00"/>
    <x v="385"/>
    <n v="54"/>
    <n v="1.5"/>
    <n v="8"/>
    <n v="39"/>
    <n v="85.4"/>
  </r>
  <r>
    <x v="14"/>
    <x v="14"/>
    <d v="2026-03-23T00:00:00"/>
    <x v="386"/>
    <n v="62.2"/>
    <n v="3.8"/>
    <n v="5"/>
    <n v="65.3"/>
    <n v="92.1"/>
  </r>
  <r>
    <x v="19"/>
    <x v="19"/>
    <d v="2026-01-12T00:00:00"/>
    <x v="209"/>
    <n v="82.5"/>
    <n v="1.8"/>
    <n v="7"/>
    <n v="46.6"/>
    <n v="91.7"/>
  </r>
  <r>
    <x v="19"/>
    <x v="19"/>
    <d v="2026-02-26T00:00:00"/>
    <x v="387"/>
    <n v="73.900000000000006"/>
    <n v="1.4"/>
    <n v="1"/>
    <n v="36.799999999999997"/>
    <n v="95.4"/>
  </r>
  <r>
    <x v="0"/>
    <x v="0"/>
    <d v="2026-01-11T00:00:00"/>
    <x v="388"/>
    <n v="65.7"/>
    <n v="2"/>
    <n v="4"/>
    <n v="54.9"/>
    <n v="97.6"/>
  </r>
  <r>
    <x v="11"/>
    <x v="11"/>
    <d v="2026-02-23T00:00:00"/>
    <x v="389"/>
    <n v="93.9"/>
    <n v="4.2"/>
    <n v="4"/>
    <n v="51.4"/>
    <n v="86.2"/>
  </r>
  <r>
    <x v="6"/>
    <x v="6"/>
    <d v="2026-03-06T00:00:00"/>
    <x v="390"/>
    <n v="69.5"/>
    <n v="2.7"/>
    <n v="3"/>
    <n v="35.4"/>
    <n v="96.4"/>
  </r>
  <r>
    <x v="14"/>
    <x v="14"/>
    <d v="2026-01-22T00:00:00"/>
    <x v="261"/>
    <n v="88.2"/>
    <n v="0.7"/>
    <n v="7"/>
    <n v="33.5"/>
    <n v="95.2"/>
  </r>
  <r>
    <x v="12"/>
    <x v="12"/>
    <d v="2026-03-22T00:00:00"/>
    <x v="391"/>
    <n v="30.6"/>
    <n v="1.6"/>
    <n v="2"/>
    <n v="33.9"/>
    <n v="93.3"/>
  </r>
  <r>
    <x v="2"/>
    <x v="2"/>
    <d v="2026-02-11T00:00:00"/>
    <x v="392"/>
    <n v="94.5"/>
    <n v="4.0999999999999996"/>
    <n v="1"/>
    <n v="65.400000000000006"/>
    <n v="94.3"/>
  </r>
  <r>
    <x v="11"/>
    <x v="11"/>
    <d v="2026-02-23T00:00:00"/>
    <x v="393"/>
    <n v="38"/>
    <n v="2.6"/>
    <n v="2"/>
    <n v="71.599999999999994"/>
    <n v="93.4"/>
  </r>
  <r>
    <x v="0"/>
    <x v="0"/>
    <d v="2026-02-06T00:00:00"/>
    <x v="394"/>
    <n v="77.5"/>
    <n v="4"/>
    <n v="5"/>
    <n v="47.2"/>
    <n v="92.3"/>
  </r>
  <r>
    <x v="18"/>
    <x v="18"/>
    <d v="2026-03-02T00:00:00"/>
    <x v="395"/>
    <n v="26.5"/>
    <n v="0.8"/>
    <n v="7"/>
    <n v="31.7"/>
    <n v="98.3"/>
  </r>
  <r>
    <x v="7"/>
    <x v="7"/>
    <d v="2026-03-30T00:00:00"/>
    <x v="396"/>
    <n v="34.9"/>
    <n v="4.2"/>
    <n v="6"/>
    <n v="30.9"/>
    <n v="97.3"/>
  </r>
  <r>
    <x v="10"/>
    <x v="10"/>
    <d v="2026-02-09T00:00:00"/>
    <x v="397"/>
    <n v="44.5"/>
    <n v="3.2"/>
    <n v="2"/>
    <n v="73.8"/>
    <n v="88.4"/>
  </r>
  <r>
    <x v="10"/>
    <x v="10"/>
    <d v="2026-02-26T00:00:00"/>
    <x v="398"/>
    <n v="99.9"/>
    <n v="3.3"/>
    <n v="2"/>
    <n v="38.5"/>
    <n v="88.2"/>
  </r>
  <r>
    <x v="3"/>
    <x v="3"/>
    <d v="2026-03-04T00:00:00"/>
    <x v="399"/>
    <n v="70.2"/>
    <n v="3.7"/>
    <n v="3"/>
    <n v="33"/>
    <n v="95.6"/>
  </r>
  <r>
    <x v="15"/>
    <x v="15"/>
    <d v="2026-01-18T00:00:00"/>
    <x v="400"/>
    <n v="87.5"/>
    <n v="2.6"/>
    <n v="3"/>
    <n v="38.700000000000003"/>
    <n v="97.5"/>
  </r>
  <r>
    <x v="6"/>
    <x v="6"/>
    <d v="2026-02-01T00:00:00"/>
    <x v="401"/>
    <n v="31.4"/>
    <n v="1.7"/>
    <n v="4"/>
    <n v="42.3"/>
    <n v="97.4"/>
  </r>
  <r>
    <x v="11"/>
    <x v="11"/>
    <d v="2026-02-20T00:00:00"/>
    <x v="402"/>
    <n v="100.5"/>
    <n v="0.3"/>
    <n v="6"/>
    <n v="52"/>
    <n v="91.7"/>
  </r>
  <r>
    <x v="17"/>
    <x v="17"/>
    <d v="2026-03-17T00:00:00"/>
    <x v="103"/>
    <n v="76.2"/>
    <n v="3.8"/>
    <n v="5"/>
    <n v="63.7"/>
    <n v="95.3"/>
  </r>
  <r>
    <x v="10"/>
    <x v="10"/>
    <d v="2026-01-04T00:00:00"/>
    <x v="403"/>
    <n v="68.8"/>
    <n v="2.7"/>
    <n v="4"/>
    <n v="68.599999999999994"/>
    <n v="94.7"/>
  </r>
  <r>
    <x v="12"/>
    <x v="12"/>
    <d v="2026-02-04T00:00:00"/>
    <x v="404"/>
    <n v="76.7"/>
    <n v="3.9"/>
    <n v="1"/>
    <n v="51.3"/>
    <n v="87"/>
  </r>
  <r>
    <x v="14"/>
    <x v="14"/>
    <d v="2026-03-18T00:00:00"/>
    <x v="405"/>
    <n v="110.5"/>
    <n v="2.8"/>
    <n v="5"/>
    <n v="62.1"/>
    <n v="95.6"/>
  </r>
  <r>
    <x v="19"/>
    <x v="19"/>
    <d v="2026-02-24T00:00:00"/>
    <x v="298"/>
    <n v="80.7"/>
    <n v="2.2000000000000002"/>
    <n v="4"/>
    <n v="51"/>
    <n v="95.2"/>
  </r>
  <r>
    <x v="18"/>
    <x v="18"/>
    <d v="2026-02-20T00:00:00"/>
    <x v="406"/>
    <n v="105.1"/>
    <n v="4.5"/>
    <n v="6"/>
    <n v="55.3"/>
    <n v="93.9"/>
  </r>
  <r>
    <x v="10"/>
    <x v="10"/>
    <d v="2026-02-08T00:00:00"/>
    <x v="407"/>
    <n v="81.3"/>
    <n v="1.6"/>
    <n v="5"/>
    <n v="58.8"/>
    <n v="97.9"/>
  </r>
  <r>
    <x v="19"/>
    <x v="19"/>
    <d v="2026-03-25T00:00:00"/>
    <x v="360"/>
    <n v="65.900000000000006"/>
    <n v="1.5"/>
    <n v="3"/>
    <n v="53.3"/>
    <n v="88.6"/>
  </r>
  <r>
    <x v="6"/>
    <x v="6"/>
    <d v="2026-03-18T00:00:00"/>
    <x v="408"/>
    <n v="62.7"/>
    <n v="0.8"/>
    <n v="1"/>
    <n v="59.5"/>
    <n v="100"/>
  </r>
  <r>
    <x v="19"/>
    <x v="19"/>
    <d v="2026-02-23T00:00:00"/>
    <x v="409"/>
    <n v="48"/>
    <n v="2.7"/>
    <n v="4"/>
    <n v="45.4"/>
    <n v="95.7"/>
  </r>
  <r>
    <x v="2"/>
    <x v="2"/>
    <d v="2026-03-23T00:00:00"/>
    <x v="410"/>
    <n v="70.599999999999994"/>
    <n v="3.1"/>
    <n v="5"/>
    <n v="68"/>
    <n v="97.6"/>
  </r>
  <r>
    <x v="2"/>
    <x v="2"/>
    <d v="2026-01-24T00:00:00"/>
    <x v="411"/>
    <n v="46.4"/>
    <n v="3.4"/>
    <n v="3"/>
    <n v="72.599999999999994"/>
    <n v="98.5"/>
  </r>
  <r>
    <x v="1"/>
    <x v="1"/>
    <d v="2026-01-29T00:00:00"/>
    <x v="412"/>
    <n v="44"/>
    <n v="1.5"/>
    <n v="6"/>
    <n v="46.7"/>
    <n v="93.8"/>
  </r>
  <r>
    <x v="13"/>
    <x v="13"/>
    <d v="2026-01-16T00:00:00"/>
    <x v="413"/>
    <n v="49.4"/>
    <n v="2.7"/>
    <n v="2"/>
    <n v="51.2"/>
    <n v="87.9"/>
  </r>
  <r>
    <x v="0"/>
    <x v="0"/>
    <d v="2026-03-29T00:00:00"/>
    <x v="414"/>
    <n v="61.3"/>
    <n v="0.4"/>
    <n v="3"/>
    <n v="36.200000000000003"/>
    <n v="88"/>
  </r>
  <r>
    <x v="3"/>
    <x v="3"/>
    <d v="2026-03-14T00:00:00"/>
    <x v="415"/>
    <n v="75.099999999999994"/>
    <n v="0.8"/>
    <n v="3"/>
    <n v="65.099999999999994"/>
    <n v="92.3"/>
  </r>
  <r>
    <x v="14"/>
    <x v="14"/>
    <d v="2026-02-10T00:00:00"/>
    <x v="416"/>
    <n v="111.9"/>
    <n v="1.4"/>
    <n v="3"/>
    <n v="55.9"/>
    <n v="87.4"/>
  </r>
  <r>
    <x v="1"/>
    <x v="1"/>
    <d v="2026-01-17T00:00:00"/>
    <x v="417"/>
    <n v="68.2"/>
    <n v="1.9"/>
    <n v="8"/>
    <n v="47.2"/>
    <n v="85.6"/>
  </r>
  <r>
    <x v="12"/>
    <x v="12"/>
    <d v="2026-02-17T00:00:00"/>
    <x v="418"/>
    <n v="82.8"/>
    <n v="3.5"/>
    <n v="4"/>
    <n v="30.8"/>
    <n v="85.1"/>
  </r>
  <r>
    <x v="5"/>
    <x v="5"/>
    <d v="2026-01-29T00:00:00"/>
    <x v="419"/>
    <n v="90.2"/>
    <n v="0.8"/>
    <n v="7"/>
    <n v="52.7"/>
    <n v="89.6"/>
  </r>
  <r>
    <x v="1"/>
    <x v="1"/>
    <d v="2026-01-06T00:00:00"/>
    <x v="420"/>
    <n v="53.1"/>
    <n v="3.3"/>
    <n v="6"/>
    <n v="49.5"/>
    <n v="95.3"/>
  </r>
  <r>
    <x v="8"/>
    <x v="8"/>
    <d v="2026-02-13T00:00:00"/>
    <x v="421"/>
    <n v="108.8"/>
    <n v="3.4"/>
    <n v="3"/>
    <n v="72.7"/>
    <n v="98.8"/>
  </r>
  <r>
    <x v="15"/>
    <x v="15"/>
    <d v="2026-01-03T00:00:00"/>
    <x v="422"/>
    <n v="34.5"/>
    <n v="0.8"/>
    <n v="1"/>
    <n v="56.5"/>
    <n v="87.5"/>
  </r>
  <r>
    <x v="4"/>
    <x v="4"/>
    <d v="2026-03-25T00:00:00"/>
    <x v="423"/>
    <n v="97.8"/>
    <n v="3"/>
    <n v="1"/>
    <n v="56.7"/>
    <n v="85.7"/>
  </r>
  <r>
    <x v="0"/>
    <x v="0"/>
    <d v="2026-03-25T00:00:00"/>
    <x v="424"/>
    <n v="132.9"/>
    <n v="0.7"/>
    <n v="8"/>
    <n v="47.1"/>
    <n v="93.2"/>
  </r>
  <r>
    <x v="17"/>
    <x v="17"/>
    <d v="2026-03-31T00:00:00"/>
    <x v="245"/>
    <n v="29.2"/>
    <n v="2.9"/>
    <n v="5"/>
    <n v="48.9"/>
    <n v="86.5"/>
  </r>
  <r>
    <x v="11"/>
    <x v="11"/>
    <d v="2026-02-04T00:00:00"/>
    <x v="425"/>
    <n v="66.2"/>
    <n v="2"/>
    <n v="2"/>
    <n v="53"/>
    <n v="94.3"/>
  </r>
  <r>
    <x v="10"/>
    <x v="10"/>
    <d v="2026-01-15T00:00:00"/>
    <x v="410"/>
    <n v="89.4"/>
    <n v="2.8"/>
    <n v="5"/>
    <n v="67.400000000000006"/>
    <n v="99.6"/>
  </r>
  <r>
    <x v="4"/>
    <x v="4"/>
    <d v="2026-02-22T00:00:00"/>
    <x v="285"/>
    <n v="65.099999999999994"/>
    <n v="2.2999999999999998"/>
    <n v="4"/>
    <n v="61"/>
    <n v="92.2"/>
  </r>
  <r>
    <x v="5"/>
    <x v="5"/>
    <d v="2026-01-01T00:00:00"/>
    <x v="342"/>
    <n v="27.9"/>
    <n v="2.2999999999999998"/>
    <n v="8"/>
    <n v="36.700000000000003"/>
    <n v="86.4"/>
  </r>
  <r>
    <x v="11"/>
    <x v="11"/>
    <d v="2026-01-10T00:00:00"/>
    <x v="426"/>
    <n v="113.1"/>
    <n v="1.3"/>
    <n v="4"/>
    <n v="50.6"/>
    <n v="99.7"/>
  </r>
  <r>
    <x v="19"/>
    <x v="19"/>
    <d v="2026-03-01T00:00:00"/>
    <x v="427"/>
    <n v="19.7"/>
    <n v="4"/>
    <n v="5"/>
    <n v="46.2"/>
    <n v="95.2"/>
  </r>
  <r>
    <x v="3"/>
    <x v="3"/>
    <d v="2026-01-15T00:00:00"/>
    <x v="428"/>
    <n v="23.7"/>
    <n v="0.4"/>
    <n v="3"/>
    <n v="59.9"/>
    <n v="87.6"/>
  </r>
  <r>
    <x v="4"/>
    <x v="4"/>
    <d v="2026-02-26T00:00:00"/>
    <x v="429"/>
    <n v="123"/>
    <n v="3.4"/>
    <n v="6"/>
    <n v="66.7"/>
    <n v="87.7"/>
  </r>
  <r>
    <x v="15"/>
    <x v="15"/>
    <d v="2026-02-21T00:00:00"/>
    <x v="430"/>
    <n v="123.4"/>
    <n v="1.9"/>
    <n v="8"/>
    <n v="66"/>
    <n v="94.7"/>
  </r>
  <r>
    <x v="14"/>
    <x v="14"/>
    <d v="2026-01-15T00:00:00"/>
    <x v="431"/>
    <n v="27.1"/>
    <n v="4.4000000000000004"/>
    <n v="3"/>
    <n v="34.700000000000003"/>
    <n v="98.7"/>
  </r>
  <r>
    <x v="17"/>
    <x v="17"/>
    <d v="2026-03-14T00:00:00"/>
    <x v="432"/>
    <n v="100.6"/>
    <n v="1.8"/>
    <n v="6"/>
    <n v="57.5"/>
    <n v="97.9"/>
  </r>
  <r>
    <x v="8"/>
    <x v="8"/>
    <d v="2026-03-03T00:00:00"/>
    <x v="433"/>
    <n v="135.4"/>
    <n v="2"/>
    <n v="1"/>
    <n v="32.9"/>
    <n v="94.8"/>
  </r>
  <r>
    <x v="9"/>
    <x v="9"/>
    <d v="2026-03-28T00:00:00"/>
    <x v="434"/>
    <n v="57"/>
    <n v="3.3"/>
    <n v="4"/>
    <n v="74"/>
    <n v="95"/>
  </r>
  <r>
    <x v="7"/>
    <x v="7"/>
    <d v="2026-03-08T00:00:00"/>
    <x v="435"/>
    <n v="58.3"/>
    <n v="0.6"/>
    <n v="4"/>
    <n v="51.7"/>
    <n v="95"/>
  </r>
  <r>
    <x v="15"/>
    <x v="15"/>
    <d v="2026-01-20T00:00:00"/>
    <x v="436"/>
    <n v="90.6"/>
    <n v="4.4000000000000004"/>
    <n v="1"/>
    <n v="30.5"/>
    <n v="99"/>
  </r>
  <r>
    <x v="11"/>
    <x v="11"/>
    <d v="2026-03-02T00:00:00"/>
    <x v="437"/>
    <n v="76.8"/>
    <n v="0.5"/>
    <n v="8"/>
    <n v="44.4"/>
    <n v="90"/>
  </r>
  <r>
    <x v="19"/>
    <x v="19"/>
    <d v="2026-01-07T00:00:00"/>
    <x v="438"/>
    <n v="62.4"/>
    <n v="1.8"/>
    <n v="4"/>
    <n v="33.5"/>
    <n v="91.7"/>
  </r>
  <r>
    <x v="16"/>
    <x v="16"/>
    <d v="2026-02-27T00:00:00"/>
    <x v="439"/>
    <n v="27.2"/>
    <n v="1.6"/>
    <n v="8"/>
    <n v="63.5"/>
    <n v="85.3"/>
  </r>
  <r>
    <x v="15"/>
    <x v="15"/>
    <d v="2026-02-22T00:00:00"/>
    <x v="440"/>
    <n v="21.8"/>
    <n v="3.8"/>
    <n v="5"/>
    <n v="70.099999999999994"/>
    <n v="93.4"/>
  </r>
  <r>
    <x v="13"/>
    <x v="13"/>
    <d v="2026-02-13T00:00:00"/>
    <x v="441"/>
    <n v="72.8"/>
    <n v="1.2"/>
    <n v="8"/>
    <n v="44.9"/>
    <n v="96.5"/>
  </r>
  <r>
    <x v="18"/>
    <x v="18"/>
    <d v="2026-03-02T00:00:00"/>
    <x v="442"/>
    <n v="91.3"/>
    <n v="2.1"/>
    <n v="2"/>
    <n v="64.2"/>
    <n v="88.3"/>
  </r>
  <r>
    <x v="7"/>
    <x v="7"/>
    <d v="2026-02-15T00:00:00"/>
    <x v="443"/>
    <n v="71.599999999999994"/>
    <n v="1.5"/>
    <n v="6"/>
    <n v="61.6"/>
    <n v="85.7"/>
  </r>
  <r>
    <x v="14"/>
    <x v="14"/>
    <d v="2026-03-05T00:00:00"/>
    <x v="444"/>
    <n v="27.9"/>
    <n v="3.3"/>
    <n v="2"/>
    <n v="41.4"/>
    <n v="87.9"/>
  </r>
  <r>
    <x v="0"/>
    <x v="0"/>
    <d v="2026-02-20T00:00:00"/>
    <x v="445"/>
    <n v="31.8"/>
    <n v="1"/>
    <n v="6"/>
    <n v="34.799999999999997"/>
    <n v="91.2"/>
  </r>
  <r>
    <x v="16"/>
    <x v="16"/>
    <d v="2026-01-16T00:00:00"/>
    <x v="446"/>
    <n v="91.1"/>
    <n v="3"/>
    <n v="3"/>
    <n v="73.400000000000006"/>
    <n v="85.1"/>
  </r>
  <r>
    <x v="6"/>
    <x v="6"/>
    <d v="2026-03-12T00:00:00"/>
    <x v="447"/>
    <n v="84.1"/>
    <n v="2.2999999999999998"/>
    <n v="3"/>
    <n v="61.1"/>
    <n v="87.6"/>
  </r>
  <r>
    <x v="8"/>
    <x v="8"/>
    <d v="2026-01-14T00:00:00"/>
    <x v="448"/>
    <n v="50.5"/>
    <n v="4"/>
    <n v="7"/>
    <n v="48.8"/>
    <n v="94.1"/>
  </r>
  <r>
    <x v="5"/>
    <x v="5"/>
    <d v="2026-02-05T00:00:00"/>
    <x v="324"/>
    <n v="61"/>
    <n v="1.5"/>
    <n v="3"/>
    <n v="36.200000000000003"/>
    <n v="94"/>
  </r>
  <r>
    <x v="11"/>
    <x v="11"/>
    <d v="2026-02-08T00:00:00"/>
    <x v="449"/>
    <n v="91.6"/>
    <n v="1.5"/>
    <n v="4"/>
    <n v="39"/>
    <n v="94.4"/>
  </r>
  <r>
    <x v="10"/>
    <x v="10"/>
    <d v="2026-03-29T00:00:00"/>
    <x v="450"/>
    <n v="45"/>
    <n v="4.4000000000000004"/>
    <n v="3"/>
    <n v="52.7"/>
    <n v="95.4"/>
  </r>
  <r>
    <x v="7"/>
    <x v="7"/>
    <d v="2026-01-15T00:00:00"/>
    <x v="451"/>
    <n v="83.7"/>
    <n v="2.7"/>
    <n v="7"/>
    <n v="60.3"/>
    <n v="98.4"/>
  </r>
  <r>
    <x v="2"/>
    <x v="2"/>
    <d v="2026-02-06T00:00:00"/>
    <x v="452"/>
    <n v="102.7"/>
    <n v="0.3"/>
    <n v="2"/>
    <n v="31.1"/>
    <n v="87.2"/>
  </r>
  <r>
    <x v="6"/>
    <x v="6"/>
    <d v="2026-01-26T00:00:00"/>
    <x v="453"/>
    <n v="36.299999999999997"/>
    <n v="4.4000000000000004"/>
    <n v="5"/>
    <n v="36.6"/>
    <n v="85.9"/>
  </r>
  <r>
    <x v="10"/>
    <x v="10"/>
    <d v="2026-01-27T00:00:00"/>
    <x v="454"/>
    <n v="124.3"/>
    <n v="3.7"/>
    <n v="2"/>
    <n v="57.7"/>
    <n v="95.1"/>
  </r>
  <r>
    <x v="2"/>
    <x v="2"/>
    <d v="2026-01-29T00:00:00"/>
    <x v="455"/>
    <n v="82.2"/>
    <n v="1.2"/>
    <n v="5"/>
    <n v="61.2"/>
    <n v="85.7"/>
  </r>
  <r>
    <x v="15"/>
    <x v="15"/>
    <d v="2026-02-19T00:00:00"/>
    <x v="456"/>
    <n v="47.5"/>
    <n v="3.1"/>
    <n v="1"/>
    <n v="30.6"/>
    <n v="88.8"/>
  </r>
  <r>
    <x v="18"/>
    <x v="18"/>
    <d v="2026-02-26T00:00:00"/>
    <x v="443"/>
    <n v="73.599999999999994"/>
    <n v="3.2"/>
    <n v="6"/>
    <n v="64"/>
    <n v="93.2"/>
  </r>
  <r>
    <x v="18"/>
    <x v="18"/>
    <d v="2026-01-26T00:00:00"/>
    <x v="457"/>
    <n v="68"/>
    <n v="1.5"/>
    <n v="3"/>
    <n v="74.3"/>
    <n v="86.1"/>
  </r>
  <r>
    <x v="14"/>
    <x v="14"/>
    <d v="2026-03-07T00:00:00"/>
    <x v="458"/>
    <n v="42.7"/>
    <n v="1.4"/>
    <n v="5"/>
    <n v="35.9"/>
    <n v="93.8"/>
  </r>
  <r>
    <x v="19"/>
    <x v="19"/>
    <d v="2026-01-01T00:00:00"/>
    <x v="459"/>
    <n v="42.9"/>
    <n v="0.9"/>
    <n v="3"/>
    <n v="71.8"/>
    <n v="94"/>
  </r>
  <r>
    <x v="18"/>
    <x v="18"/>
    <d v="2026-03-26T00:00:00"/>
    <x v="51"/>
    <n v="38.799999999999997"/>
    <n v="2.6"/>
    <n v="2"/>
    <n v="65.3"/>
    <n v="89.8"/>
  </r>
  <r>
    <x v="5"/>
    <x v="5"/>
    <d v="2026-01-24T00:00:00"/>
    <x v="460"/>
    <n v="55.4"/>
    <n v="0.9"/>
    <n v="7"/>
    <n v="34.1"/>
    <n v="88.3"/>
  </r>
  <r>
    <x v="12"/>
    <x v="12"/>
    <d v="2026-03-26T00:00:00"/>
    <x v="461"/>
    <n v="65"/>
    <n v="1.1000000000000001"/>
    <n v="8"/>
    <n v="74.8"/>
    <n v="97.4"/>
  </r>
  <r>
    <x v="9"/>
    <x v="9"/>
    <d v="2026-01-15T00:00:00"/>
    <x v="23"/>
    <n v="81.8"/>
    <n v="4.0999999999999996"/>
    <n v="4"/>
    <n v="73.2"/>
    <n v="95.2"/>
  </r>
  <r>
    <x v="7"/>
    <x v="7"/>
    <d v="2026-02-18T00:00:00"/>
    <x v="462"/>
    <n v="78.3"/>
    <n v="1.9"/>
    <n v="5"/>
    <n v="31.1"/>
    <n v="92.8"/>
  </r>
  <r>
    <x v="4"/>
    <x v="4"/>
    <d v="2026-03-07T00:00:00"/>
    <x v="463"/>
    <n v="94.2"/>
    <n v="0.4"/>
    <n v="4"/>
    <n v="44.4"/>
    <n v="86.2"/>
  </r>
  <r>
    <x v="0"/>
    <x v="0"/>
    <d v="2026-01-22T00:00:00"/>
    <x v="464"/>
    <n v="89.9"/>
    <n v="2.5"/>
    <n v="2"/>
    <n v="39.5"/>
    <n v="94.4"/>
  </r>
  <r>
    <x v="12"/>
    <x v="12"/>
    <d v="2026-03-29T00:00:00"/>
    <x v="465"/>
    <n v="76.900000000000006"/>
    <n v="2.5"/>
    <n v="7"/>
    <n v="59.1"/>
    <n v="99.1"/>
  </r>
  <r>
    <x v="8"/>
    <x v="8"/>
    <d v="2026-01-04T00:00:00"/>
    <x v="466"/>
    <n v="67.599999999999994"/>
    <n v="0.6"/>
    <n v="1"/>
    <n v="38"/>
    <n v="88.8"/>
  </r>
  <r>
    <x v="1"/>
    <x v="1"/>
    <d v="2026-03-15T00:00:00"/>
    <x v="364"/>
    <n v="73"/>
    <n v="2"/>
    <n v="8"/>
    <n v="58.4"/>
    <n v="91.5"/>
  </r>
  <r>
    <x v="9"/>
    <x v="9"/>
    <d v="2026-02-19T00:00:00"/>
    <x v="467"/>
    <n v="77.5"/>
    <n v="3"/>
    <n v="2"/>
    <n v="64"/>
    <n v="93.8"/>
  </r>
  <r>
    <x v="1"/>
    <x v="1"/>
    <d v="2026-02-15T00:00:00"/>
    <x v="468"/>
    <n v="137.19999999999999"/>
    <n v="3.6"/>
    <n v="5"/>
    <n v="57.3"/>
    <n v="89.2"/>
  </r>
  <r>
    <x v="13"/>
    <x v="13"/>
    <d v="2026-02-18T00:00:00"/>
    <x v="469"/>
    <n v="49.3"/>
    <n v="2.2000000000000002"/>
    <n v="4"/>
    <n v="36.1"/>
    <n v="90.9"/>
  </r>
  <r>
    <x v="2"/>
    <x v="2"/>
    <d v="2026-02-07T00:00:00"/>
    <x v="470"/>
    <n v="136.5"/>
    <n v="3.1"/>
    <n v="6"/>
    <n v="73.099999999999994"/>
    <n v="85.2"/>
  </r>
  <r>
    <x v="2"/>
    <x v="2"/>
    <d v="2026-01-19T00:00:00"/>
    <x v="471"/>
    <n v="44.6"/>
    <n v="2.8"/>
    <n v="2"/>
    <n v="43.7"/>
    <n v="96.2"/>
  </r>
  <r>
    <x v="4"/>
    <x v="4"/>
    <d v="2026-01-28T00:00:00"/>
    <x v="472"/>
    <n v="51.2"/>
    <n v="2.4"/>
    <n v="3"/>
    <n v="38.299999999999997"/>
    <n v="94.3"/>
  </r>
  <r>
    <x v="19"/>
    <x v="19"/>
    <d v="2026-01-25T00:00:00"/>
    <x v="473"/>
    <n v="26.5"/>
    <n v="2.6"/>
    <n v="1"/>
    <n v="68.3"/>
    <n v="99"/>
  </r>
  <r>
    <x v="2"/>
    <x v="2"/>
    <d v="2026-03-01T00:00:00"/>
    <x v="474"/>
    <n v="106.3"/>
    <n v="3.1"/>
    <n v="5"/>
    <n v="34.4"/>
    <n v="95.9"/>
  </r>
  <r>
    <x v="17"/>
    <x v="17"/>
    <d v="2026-02-12T00:00:00"/>
    <x v="189"/>
    <n v="46"/>
    <n v="1.2"/>
    <n v="5"/>
    <n v="57.9"/>
    <n v="98.5"/>
  </r>
  <r>
    <x v="7"/>
    <x v="7"/>
    <d v="2026-03-04T00:00:00"/>
    <x v="475"/>
    <n v="55.3"/>
    <n v="1.5"/>
    <n v="3"/>
    <n v="55.4"/>
    <n v="90.5"/>
  </r>
  <r>
    <x v="7"/>
    <x v="7"/>
    <d v="2026-02-24T00:00:00"/>
    <x v="476"/>
    <n v="39.1"/>
    <n v="3.6"/>
    <n v="7"/>
    <n v="42.5"/>
    <n v="90.4"/>
  </r>
  <r>
    <x v="7"/>
    <x v="7"/>
    <d v="2026-03-03T00:00:00"/>
    <x v="477"/>
    <n v="66.7"/>
    <n v="1.5"/>
    <n v="2"/>
    <n v="37.9"/>
    <n v="94.1"/>
  </r>
  <r>
    <x v="19"/>
    <x v="19"/>
    <d v="2026-01-18T00:00:00"/>
    <x v="478"/>
    <n v="123"/>
    <n v="3.4"/>
    <n v="2"/>
    <n v="62.7"/>
    <n v="98.4"/>
  </r>
  <r>
    <x v="11"/>
    <x v="11"/>
    <d v="2026-03-22T00:00:00"/>
    <x v="479"/>
    <n v="20.9"/>
    <n v="1.9"/>
    <n v="4"/>
    <n v="70.8"/>
    <n v="93.3"/>
  </r>
  <r>
    <x v="2"/>
    <x v="2"/>
    <d v="2026-03-11T00:00:00"/>
    <x v="480"/>
    <n v="52.1"/>
    <n v="1.8"/>
    <n v="4"/>
    <n v="70.099999999999994"/>
    <n v="93.8"/>
  </r>
  <r>
    <x v="10"/>
    <x v="10"/>
    <d v="2026-01-18T00:00:00"/>
    <x v="481"/>
    <n v="60.3"/>
    <n v="1.9"/>
    <n v="1"/>
    <n v="59.8"/>
    <n v="97.7"/>
  </r>
  <r>
    <x v="18"/>
    <x v="18"/>
    <d v="2026-03-29T00:00:00"/>
    <x v="482"/>
    <n v="33.799999999999997"/>
    <n v="2.1"/>
    <n v="3"/>
    <n v="55.5"/>
    <n v="93.5"/>
  </r>
  <r>
    <x v="8"/>
    <x v="8"/>
    <d v="2026-03-03T00:00:00"/>
    <x v="46"/>
    <n v="147"/>
    <n v="3.5"/>
    <n v="4"/>
    <n v="32.799999999999997"/>
    <n v="90.5"/>
  </r>
  <r>
    <x v="6"/>
    <x v="6"/>
    <d v="2026-03-27T00:00:00"/>
    <x v="483"/>
    <n v="29.8"/>
    <n v="1.8"/>
    <n v="8"/>
    <n v="71.3"/>
    <n v="98.2"/>
  </r>
  <r>
    <x v="6"/>
    <x v="6"/>
    <d v="2026-03-25T00:00:00"/>
    <x v="484"/>
    <n v="42.5"/>
    <n v="2.4"/>
    <n v="5"/>
    <n v="67.599999999999994"/>
    <n v="88.9"/>
  </r>
  <r>
    <x v="2"/>
    <x v="2"/>
    <d v="2026-03-14T00:00:00"/>
    <x v="485"/>
    <n v="31.6"/>
    <n v="1.8"/>
    <n v="2"/>
    <n v="53.2"/>
    <n v="90.6"/>
  </r>
  <r>
    <x v="5"/>
    <x v="5"/>
    <d v="2026-03-08T00:00:00"/>
    <x v="486"/>
    <n v="46"/>
    <n v="1.7"/>
    <n v="8"/>
    <n v="69.900000000000006"/>
    <n v="85.1"/>
  </r>
  <r>
    <x v="8"/>
    <x v="8"/>
    <d v="2026-02-26T00:00:00"/>
    <x v="487"/>
    <n v="47"/>
    <n v="3"/>
    <n v="4"/>
    <n v="36.799999999999997"/>
    <n v="87.4"/>
  </r>
  <r>
    <x v="18"/>
    <x v="18"/>
    <d v="2026-01-16T00:00:00"/>
    <x v="488"/>
    <n v="82.8"/>
    <n v="1.6"/>
    <n v="2"/>
    <n v="51.7"/>
    <n v="92.2"/>
  </r>
  <r>
    <x v="12"/>
    <x v="12"/>
    <d v="2026-03-17T00:00:00"/>
    <x v="489"/>
    <n v="27.7"/>
    <n v="0.3"/>
    <n v="1"/>
    <n v="35.799999999999997"/>
    <n v="93.9"/>
  </r>
  <r>
    <x v="8"/>
    <x v="8"/>
    <d v="2026-03-22T00:00:00"/>
    <x v="490"/>
    <n v="51.8"/>
    <n v="0.8"/>
    <n v="3"/>
    <n v="41.6"/>
    <n v="87.7"/>
  </r>
  <r>
    <x v="15"/>
    <x v="15"/>
    <d v="2026-03-18T00:00:00"/>
    <x v="491"/>
    <n v="97"/>
    <n v="4"/>
    <n v="5"/>
    <n v="72.599999999999994"/>
    <n v="88.2"/>
  </r>
  <r>
    <x v="18"/>
    <x v="18"/>
    <d v="2026-03-02T00:00:00"/>
    <x v="492"/>
    <n v="123"/>
    <n v="3.8"/>
    <n v="3"/>
    <n v="65.8"/>
    <n v="97.3"/>
  </r>
  <r>
    <x v="14"/>
    <x v="14"/>
    <d v="2026-03-21T00:00:00"/>
    <x v="493"/>
    <n v="92.2"/>
    <n v="3.3"/>
    <n v="6"/>
    <n v="71.5"/>
    <n v="93.9"/>
  </r>
  <r>
    <x v="1"/>
    <x v="1"/>
    <d v="2026-01-30T00:00:00"/>
    <x v="494"/>
    <n v="69.7"/>
    <n v="0.3"/>
    <n v="7"/>
    <n v="67.2"/>
    <n v="94.1"/>
  </r>
  <r>
    <x v="14"/>
    <x v="14"/>
    <d v="2026-03-02T00:00:00"/>
    <x v="495"/>
    <n v="93.6"/>
    <n v="4"/>
    <n v="2"/>
    <n v="34.200000000000003"/>
    <n v="94.9"/>
  </r>
  <r>
    <x v="18"/>
    <x v="18"/>
    <d v="2026-03-11T00:00:00"/>
    <x v="496"/>
    <n v="74"/>
    <n v="3.5"/>
    <n v="7"/>
    <n v="53.5"/>
    <n v="90.6"/>
  </r>
  <r>
    <x v="6"/>
    <x v="6"/>
    <d v="2026-03-31T00:00:00"/>
    <x v="497"/>
    <n v="80.7"/>
    <n v="3.6"/>
    <n v="7"/>
    <n v="45.8"/>
    <n v="97.1"/>
  </r>
  <r>
    <x v="16"/>
    <x v="16"/>
    <d v="2026-01-13T00:00:00"/>
    <x v="498"/>
    <n v="68.099999999999994"/>
    <n v="3.5"/>
    <n v="2"/>
    <n v="42.7"/>
    <n v="98.2"/>
  </r>
  <r>
    <x v="3"/>
    <x v="3"/>
    <d v="2026-02-02T00:00:00"/>
    <x v="499"/>
    <n v="31.8"/>
    <n v="3.6"/>
    <n v="2"/>
    <n v="53.4"/>
    <n v="90.6"/>
  </r>
  <r>
    <x v="12"/>
    <x v="12"/>
    <d v="2026-03-30T00:00:00"/>
    <x v="500"/>
    <n v="96.7"/>
    <n v="0.7"/>
    <n v="7"/>
    <n v="59.3"/>
    <n v="88.8"/>
  </r>
  <r>
    <x v="2"/>
    <x v="2"/>
    <d v="2026-02-24T00:00:00"/>
    <x v="501"/>
    <n v="64.900000000000006"/>
    <n v="4.5"/>
    <n v="7"/>
    <n v="64"/>
    <n v="92"/>
  </r>
  <r>
    <x v="2"/>
    <x v="2"/>
    <d v="2026-03-03T00:00:00"/>
    <x v="502"/>
    <n v="33.9"/>
    <n v="2.2999999999999998"/>
    <n v="5"/>
    <n v="56"/>
    <n v="96.6"/>
  </r>
  <r>
    <x v="15"/>
    <x v="15"/>
    <d v="2026-01-18T00:00:00"/>
    <x v="503"/>
    <n v="86.5"/>
    <n v="3.4"/>
    <n v="8"/>
    <n v="65.2"/>
    <n v="99.2"/>
  </r>
  <r>
    <x v="0"/>
    <x v="0"/>
    <d v="2026-01-28T00:00:00"/>
    <x v="504"/>
    <n v="54.5"/>
    <n v="3.6"/>
    <n v="1"/>
    <n v="37.200000000000003"/>
    <n v="99.5"/>
  </r>
  <r>
    <x v="9"/>
    <x v="9"/>
    <d v="2026-01-12T00:00:00"/>
    <x v="505"/>
    <n v="94.4"/>
    <n v="2.8"/>
    <n v="2"/>
    <n v="32.9"/>
    <n v="88.3"/>
  </r>
  <r>
    <x v="1"/>
    <x v="1"/>
    <d v="2026-03-19T00:00:00"/>
    <x v="506"/>
    <n v="24.5"/>
    <n v="4.4000000000000004"/>
    <n v="5"/>
    <n v="62"/>
    <n v="94"/>
  </r>
  <r>
    <x v="14"/>
    <x v="14"/>
    <d v="2026-03-23T00:00:00"/>
    <x v="507"/>
    <n v="92.9"/>
    <n v="3.9"/>
    <n v="5"/>
    <n v="38.799999999999997"/>
    <n v="96.8"/>
  </r>
  <r>
    <x v="11"/>
    <x v="11"/>
    <d v="2026-03-08T00:00:00"/>
    <x v="508"/>
    <n v="75.900000000000006"/>
    <n v="3.1"/>
    <n v="6"/>
    <n v="40.799999999999997"/>
    <n v="85"/>
  </r>
  <r>
    <x v="14"/>
    <x v="14"/>
    <d v="2026-01-12T00:00:00"/>
    <x v="509"/>
    <n v="91.5"/>
    <n v="1.7"/>
    <n v="7"/>
    <n v="48.2"/>
    <n v="88"/>
  </r>
  <r>
    <x v="9"/>
    <x v="9"/>
    <d v="2026-01-09T00:00:00"/>
    <x v="280"/>
    <n v="98.1"/>
    <n v="3.3"/>
    <n v="6"/>
    <n v="45.6"/>
    <n v="97.2"/>
  </r>
  <r>
    <x v="5"/>
    <x v="5"/>
    <d v="2026-03-19T00:00:00"/>
    <x v="510"/>
    <n v="108.3"/>
    <n v="1.9"/>
    <n v="1"/>
    <n v="41.7"/>
    <n v="91.1"/>
  </r>
  <r>
    <x v="0"/>
    <x v="0"/>
    <d v="2026-03-13T00:00:00"/>
    <x v="511"/>
    <n v="29.7"/>
    <n v="4.3"/>
    <n v="5"/>
    <n v="69.400000000000006"/>
    <n v="97.2"/>
  </r>
  <r>
    <x v="16"/>
    <x v="16"/>
    <d v="2026-02-02T00:00:00"/>
    <x v="512"/>
    <n v="62.3"/>
    <n v="2.6"/>
    <n v="4"/>
    <n v="64.099999999999994"/>
    <n v="99.4"/>
  </r>
  <r>
    <x v="13"/>
    <x v="13"/>
    <d v="2026-03-29T00:00:00"/>
    <x v="513"/>
    <n v="57.1"/>
    <n v="0.3"/>
    <n v="2"/>
    <n v="41.6"/>
    <n v="90.7"/>
  </r>
  <r>
    <x v="5"/>
    <x v="5"/>
    <d v="2026-03-28T00:00:00"/>
    <x v="514"/>
    <n v="68.400000000000006"/>
    <n v="2"/>
    <n v="6"/>
    <n v="53.2"/>
    <n v="85.1"/>
  </r>
  <r>
    <x v="19"/>
    <x v="19"/>
    <d v="2026-02-01T00:00:00"/>
    <x v="515"/>
    <n v="48.1"/>
    <n v="3.4"/>
    <n v="6"/>
    <n v="33.4"/>
    <n v="99"/>
  </r>
  <r>
    <x v="17"/>
    <x v="17"/>
    <d v="2026-02-10T00:00:00"/>
    <x v="516"/>
    <n v="40.4"/>
    <n v="1.4"/>
    <n v="4"/>
    <n v="52.5"/>
    <n v="88"/>
  </r>
  <r>
    <x v="5"/>
    <x v="5"/>
    <d v="2026-02-03T00:00:00"/>
    <x v="483"/>
    <n v="46.8"/>
    <n v="1.3"/>
    <n v="6"/>
    <n v="37"/>
    <n v="86.6"/>
  </r>
  <r>
    <x v="1"/>
    <x v="1"/>
    <d v="2026-03-28T00:00:00"/>
    <x v="517"/>
    <n v="105"/>
    <n v="0.2"/>
    <n v="1"/>
    <n v="68.2"/>
    <n v="90.6"/>
  </r>
  <r>
    <x v="7"/>
    <x v="7"/>
    <d v="2026-03-05T00:00:00"/>
    <x v="518"/>
    <n v="79.599999999999994"/>
    <n v="2.7"/>
    <n v="5"/>
    <n v="52.1"/>
    <n v="99.8"/>
  </r>
  <r>
    <x v="11"/>
    <x v="11"/>
    <d v="2026-02-05T00:00:00"/>
    <x v="324"/>
    <n v="47.1"/>
    <n v="0.8"/>
    <n v="7"/>
    <n v="51.5"/>
    <n v="93.1"/>
  </r>
  <r>
    <x v="11"/>
    <x v="11"/>
    <d v="2026-02-14T00:00:00"/>
    <x v="519"/>
    <n v="48.5"/>
    <n v="1"/>
    <n v="2"/>
    <n v="61.4"/>
    <n v="91.9"/>
  </r>
  <r>
    <x v="9"/>
    <x v="9"/>
    <d v="2026-01-02T00:00:00"/>
    <x v="520"/>
    <n v="86.1"/>
    <n v="0.6"/>
    <n v="6"/>
    <n v="57.6"/>
    <n v="88.9"/>
  </r>
  <r>
    <x v="2"/>
    <x v="2"/>
    <d v="2026-02-03T00:00:00"/>
    <x v="521"/>
    <n v="41.2"/>
    <n v="2.8"/>
    <n v="6"/>
    <n v="38.299999999999997"/>
    <n v="91.4"/>
  </r>
  <r>
    <x v="3"/>
    <x v="3"/>
    <d v="2026-03-31T00:00:00"/>
    <x v="522"/>
    <n v="94.6"/>
    <n v="1.9"/>
    <n v="8"/>
    <n v="38.1"/>
    <n v="87"/>
  </r>
  <r>
    <x v="16"/>
    <x v="16"/>
    <d v="2026-03-29T00:00:00"/>
    <x v="523"/>
    <n v="53.6"/>
    <n v="1.4"/>
    <n v="4"/>
    <n v="55"/>
    <n v="97.8"/>
  </r>
  <r>
    <x v="12"/>
    <x v="12"/>
    <d v="2026-01-19T00:00:00"/>
    <x v="524"/>
    <n v="78.400000000000006"/>
    <n v="2.2000000000000002"/>
    <n v="1"/>
    <n v="37.9"/>
    <n v="92.5"/>
  </r>
  <r>
    <x v="11"/>
    <x v="11"/>
    <d v="2026-03-10T00:00:00"/>
    <x v="525"/>
    <n v="70.400000000000006"/>
    <n v="1.5"/>
    <n v="1"/>
    <n v="47.9"/>
    <n v="95.4"/>
  </r>
  <r>
    <x v="6"/>
    <x v="6"/>
    <d v="2026-01-28T00:00:00"/>
    <x v="526"/>
    <n v="93.3"/>
    <n v="2.9"/>
    <n v="8"/>
    <n v="63.5"/>
    <n v="88.9"/>
  </r>
  <r>
    <x v="4"/>
    <x v="4"/>
    <d v="2026-03-13T00:00:00"/>
    <x v="527"/>
    <n v="57.4"/>
    <n v="1.7"/>
    <n v="7"/>
    <n v="35.5"/>
    <n v="98"/>
  </r>
  <r>
    <x v="18"/>
    <x v="18"/>
    <d v="2026-01-26T00:00:00"/>
    <x v="528"/>
    <n v="64.400000000000006"/>
    <n v="2.5"/>
    <n v="5"/>
    <n v="46"/>
    <n v="95.1"/>
  </r>
  <r>
    <x v="17"/>
    <x v="17"/>
    <d v="2026-02-27T00:00:00"/>
    <x v="529"/>
    <n v="106.9"/>
    <n v="1.4"/>
    <n v="3"/>
    <n v="69.099999999999994"/>
    <n v="94.6"/>
  </r>
  <r>
    <x v="7"/>
    <x v="7"/>
    <d v="2026-02-23T00:00:00"/>
    <x v="530"/>
    <n v="72.2"/>
    <n v="3.9"/>
    <n v="2"/>
    <n v="33.6"/>
    <n v="90.2"/>
  </r>
  <r>
    <x v="7"/>
    <x v="7"/>
    <d v="2026-02-10T00:00:00"/>
    <x v="531"/>
    <n v="68.2"/>
    <n v="2.8"/>
    <n v="7"/>
    <n v="42.2"/>
    <n v="91.7"/>
  </r>
  <r>
    <x v="4"/>
    <x v="4"/>
    <d v="2026-03-17T00:00:00"/>
    <x v="532"/>
    <n v="67.900000000000006"/>
    <n v="0.9"/>
    <n v="1"/>
    <n v="35.6"/>
    <n v="88.5"/>
  </r>
  <r>
    <x v="19"/>
    <x v="19"/>
    <d v="2026-03-31T00:00:00"/>
    <x v="533"/>
    <n v="106.1"/>
    <n v="1.9"/>
    <n v="2"/>
    <n v="32.9"/>
    <n v="98.2"/>
  </r>
  <r>
    <x v="2"/>
    <x v="2"/>
    <d v="2026-01-07T00:00:00"/>
    <x v="534"/>
    <n v="23.2"/>
    <n v="3.5"/>
    <n v="2"/>
    <n v="34.700000000000003"/>
    <n v="94.3"/>
  </r>
  <r>
    <x v="1"/>
    <x v="1"/>
    <d v="2026-03-25T00:00:00"/>
    <x v="535"/>
    <n v="110.2"/>
    <n v="1.2"/>
    <n v="5"/>
    <n v="49.9"/>
    <n v="86.9"/>
  </r>
  <r>
    <x v="11"/>
    <x v="11"/>
    <d v="2026-01-22T00:00:00"/>
    <x v="536"/>
    <n v="19.7"/>
    <n v="3.9"/>
    <n v="6"/>
    <n v="68.900000000000006"/>
    <n v="92"/>
  </r>
  <r>
    <x v="2"/>
    <x v="2"/>
    <d v="2026-02-04T00:00:00"/>
    <x v="537"/>
    <n v="89.4"/>
    <n v="4.3"/>
    <n v="3"/>
    <n v="56.6"/>
    <n v="91.8"/>
  </r>
  <r>
    <x v="16"/>
    <x v="16"/>
    <d v="2026-02-25T00:00:00"/>
    <x v="538"/>
    <n v="60.5"/>
    <n v="1.5"/>
    <n v="6"/>
    <n v="51.7"/>
    <n v="88.4"/>
  </r>
  <r>
    <x v="1"/>
    <x v="1"/>
    <d v="2026-02-26T00:00:00"/>
    <x v="539"/>
    <n v="49.6"/>
    <n v="0.9"/>
    <n v="1"/>
    <n v="30"/>
    <n v="97.2"/>
  </r>
  <r>
    <x v="8"/>
    <x v="8"/>
    <d v="2026-02-14T00:00:00"/>
    <x v="540"/>
    <n v="43.8"/>
    <n v="3.2"/>
    <n v="8"/>
    <n v="72.599999999999994"/>
    <n v="92.2"/>
  </r>
  <r>
    <x v="9"/>
    <x v="9"/>
    <d v="2026-02-25T00:00:00"/>
    <x v="541"/>
    <n v="85"/>
    <n v="3.6"/>
    <n v="6"/>
    <n v="38.5"/>
    <n v="98.2"/>
  </r>
  <r>
    <x v="3"/>
    <x v="3"/>
    <d v="2026-02-20T00:00:00"/>
    <x v="542"/>
    <n v="36.5"/>
    <n v="3"/>
    <n v="7"/>
    <n v="39.9"/>
    <n v="86.2"/>
  </r>
  <r>
    <x v="5"/>
    <x v="5"/>
    <d v="2026-03-08T00:00:00"/>
    <x v="543"/>
    <n v="69"/>
    <n v="3.7"/>
    <n v="5"/>
    <n v="42.8"/>
    <n v="96.1"/>
  </r>
  <r>
    <x v="19"/>
    <x v="19"/>
    <d v="2026-02-22T00:00:00"/>
    <x v="544"/>
    <n v="50.1"/>
    <n v="0.8"/>
    <n v="2"/>
    <n v="58.7"/>
    <n v="94.3"/>
  </r>
  <r>
    <x v="19"/>
    <x v="19"/>
    <d v="2026-03-31T00:00:00"/>
    <x v="425"/>
    <n v="93.9"/>
    <n v="0.3"/>
    <n v="1"/>
    <n v="73.599999999999994"/>
    <n v="85.3"/>
  </r>
  <r>
    <x v="0"/>
    <x v="0"/>
    <d v="2026-02-06T00:00:00"/>
    <x v="545"/>
    <n v="38"/>
    <n v="3.3"/>
    <n v="4"/>
    <n v="34.1"/>
    <n v="85.2"/>
  </r>
  <r>
    <x v="12"/>
    <x v="12"/>
    <d v="2026-02-13T00:00:00"/>
    <x v="546"/>
    <n v="47.9"/>
    <n v="2.2999999999999998"/>
    <n v="6"/>
    <n v="50.9"/>
    <n v="96.9"/>
  </r>
  <r>
    <x v="7"/>
    <x v="7"/>
    <d v="2026-01-11T00:00:00"/>
    <x v="547"/>
    <n v="73"/>
    <n v="0.4"/>
    <n v="7"/>
    <n v="33.200000000000003"/>
    <n v="92.1"/>
  </r>
  <r>
    <x v="12"/>
    <x v="12"/>
    <d v="2026-02-02T00:00:00"/>
    <x v="548"/>
    <n v="75.900000000000006"/>
    <n v="0.7"/>
    <n v="4"/>
    <n v="47.3"/>
    <n v="99.6"/>
  </r>
  <r>
    <x v="5"/>
    <x v="5"/>
    <d v="2026-01-05T00:00:00"/>
    <x v="218"/>
    <n v="32.1"/>
    <n v="0.6"/>
    <n v="4"/>
    <n v="51.3"/>
    <n v="95.2"/>
  </r>
  <r>
    <x v="10"/>
    <x v="10"/>
    <d v="2026-02-11T00:00:00"/>
    <x v="549"/>
    <n v="29.1"/>
    <n v="3.4"/>
    <n v="2"/>
    <n v="41.4"/>
    <n v="94.6"/>
  </r>
  <r>
    <x v="12"/>
    <x v="12"/>
    <d v="2026-02-16T00:00:00"/>
    <x v="550"/>
    <n v="79.599999999999994"/>
    <n v="1.1000000000000001"/>
    <n v="2"/>
    <n v="40.6"/>
    <n v="91.5"/>
  </r>
  <r>
    <x v="9"/>
    <x v="9"/>
    <d v="2026-01-22T00:00:00"/>
    <x v="551"/>
    <n v="85.4"/>
    <n v="1.9"/>
    <n v="4"/>
    <n v="30.4"/>
    <n v="85.6"/>
  </r>
  <r>
    <x v="17"/>
    <x v="17"/>
    <d v="2026-03-30T00:00:00"/>
    <x v="149"/>
    <n v="79"/>
    <n v="0.6"/>
    <n v="3"/>
    <n v="52.5"/>
    <n v="95.3"/>
  </r>
  <r>
    <x v="7"/>
    <x v="7"/>
    <d v="2026-03-22T00:00:00"/>
    <x v="552"/>
    <n v="27.2"/>
    <n v="0.9"/>
    <n v="2"/>
    <n v="35.700000000000003"/>
    <n v="88.5"/>
  </r>
  <r>
    <x v="2"/>
    <x v="2"/>
    <d v="2026-03-24T00:00:00"/>
    <x v="553"/>
    <n v="72.400000000000006"/>
    <n v="2.1"/>
    <n v="4"/>
    <n v="31"/>
    <n v="90.7"/>
  </r>
  <r>
    <x v="8"/>
    <x v="8"/>
    <d v="2026-02-02T00:00:00"/>
    <x v="554"/>
    <n v="100.4"/>
    <n v="2.1"/>
    <n v="5"/>
    <n v="54.4"/>
    <n v="92.4"/>
  </r>
  <r>
    <x v="16"/>
    <x v="16"/>
    <d v="2026-01-24T00:00:00"/>
    <x v="555"/>
    <n v="76.5"/>
    <n v="2.2000000000000002"/>
    <n v="3"/>
    <n v="33.1"/>
    <n v="87.3"/>
  </r>
  <r>
    <x v="10"/>
    <x v="10"/>
    <d v="2026-02-03T00:00:00"/>
    <x v="556"/>
    <n v="69.599999999999994"/>
    <n v="3.5"/>
    <n v="7"/>
    <n v="63"/>
    <n v="98.2"/>
  </r>
  <r>
    <x v="18"/>
    <x v="18"/>
    <d v="2026-02-16T00:00:00"/>
    <x v="557"/>
    <n v="106.6"/>
    <n v="3.3"/>
    <n v="7"/>
    <n v="38.5"/>
    <n v="95.2"/>
  </r>
  <r>
    <x v="2"/>
    <x v="2"/>
    <d v="2026-01-20T00:00:00"/>
    <x v="558"/>
    <n v="83.6"/>
    <n v="3"/>
    <n v="2"/>
    <n v="34.299999999999997"/>
    <n v="94.9"/>
  </r>
  <r>
    <x v="6"/>
    <x v="6"/>
    <d v="2026-01-17T00:00:00"/>
    <x v="502"/>
    <n v="50.7"/>
    <n v="0.7"/>
    <n v="4"/>
    <n v="34.4"/>
    <n v="93.6"/>
  </r>
  <r>
    <x v="15"/>
    <x v="15"/>
    <d v="2026-03-26T00:00:00"/>
    <x v="559"/>
    <n v="58.3"/>
    <n v="2.7"/>
    <n v="1"/>
    <n v="46.5"/>
    <n v="94.1"/>
  </r>
  <r>
    <x v="1"/>
    <x v="1"/>
    <d v="2026-01-02T00:00:00"/>
    <x v="560"/>
    <n v="126.1"/>
    <n v="2.2999999999999998"/>
    <n v="2"/>
    <n v="51.1"/>
    <n v="94.6"/>
  </r>
  <r>
    <x v="4"/>
    <x v="4"/>
    <d v="2026-03-13T00:00:00"/>
    <x v="561"/>
    <n v="68.2"/>
    <n v="3.7"/>
    <n v="1"/>
    <n v="67.099999999999994"/>
    <n v="89"/>
  </r>
  <r>
    <x v="6"/>
    <x v="6"/>
    <d v="2026-01-10T00:00:00"/>
    <x v="562"/>
    <n v="129.1"/>
    <n v="1.1000000000000001"/>
    <n v="2"/>
    <n v="34.6"/>
    <n v="88.5"/>
  </r>
  <r>
    <x v="15"/>
    <x v="15"/>
    <d v="2026-01-25T00:00:00"/>
    <x v="563"/>
    <n v="33.1"/>
    <n v="2.7"/>
    <n v="3"/>
    <n v="55.1"/>
    <n v="93.4"/>
  </r>
  <r>
    <x v="0"/>
    <x v="0"/>
    <d v="2026-03-23T00:00:00"/>
    <x v="564"/>
    <n v="63.5"/>
    <n v="3.2"/>
    <n v="7"/>
    <n v="69.7"/>
    <n v="87.5"/>
  </r>
  <r>
    <x v="14"/>
    <x v="14"/>
    <d v="2026-03-12T00:00:00"/>
    <x v="565"/>
    <n v="61.6"/>
    <n v="0.9"/>
    <n v="8"/>
    <n v="72"/>
    <n v="98.5"/>
  </r>
  <r>
    <x v="2"/>
    <x v="2"/>
    <d v="2026-02-11T00:00:00"/>
    <x v="566"/>
    <n v="100.3"/>
    <n v="2.9"/>
    <n v="6"/>
    <n v="57.4"/>
    <n v="93.4"/>
  </r>
  <r>
    <x v="12"/>
    <x v="12"/>
    <d v="2026-02-18T00:00:00"/>
    <x v="567"/>
    <n v="68.5"/>
    <n v="1.3"/>
    <n v="8"/>
    <n v="50.1"/>
    <n v="91"/>
  </r>
  <r>
    <x v="6"/>
    <x v="6"/>
    <d v="2026-02-06T00:00:00"/>
    <x v="568"/>
    <n v="71.599999999999994"/>
    <n v="4.5"/>
    <n v="5"/>
    <n v="30.3"/>
    <n v="99.8"/>
  </r>
  <r>
    <x v="12"/>
    <x v="12"/>
    <d v="2026-02-10T00:00:00"/>
    <x v="569"/>
    <n v="17.5"/>
    <n v="3.2"/>
    <n v="5"/>
    <n v="71.400000000000006"/>
    <n v="92.7"/>
  </r>
  <r>
    <x v="16"/>
    <x v="16"/>
    <d v="2026-03-15T00:00:00"/>
    <x v="570"/>
    <n v="47.3"/>
    <n v="1.7"/>
    <n v="3"/>
    <n v="41.9"/>
    <n v="92"/>
  </r>
  <r>
    <x v="5"/>
    <x v="5"/>
    <d v="2026-01-30T00:00:00"/>
    <x v="571"/>
    <n v="48.4"/>
    <n v="2.7"/>
    <n v="4"/>
    <n v="63"/>
    <n v="95.9"/>
  </r>
  <r>
    <x v="17"/>
    <x v="17"/>
    <d v="2026-01-23T00:00:00"/>
    <x v="572"/>
    <n v="49.9"/>
    <n v="3.2"/>
    <n v="2"/>
    <n v="56.8"/>
    <n v="89.5"/>
  </r>
  <r>
    <x v="16"/>
    <x v="16"/>
    <d v="2026-02-18T00:00:00"/>
    <x v="573"/>
    <n v="36.9"/>
    <n v="3.5"/>
    <n v="6"/>
    <n v="69.599999999999994"/>
    <n v="91.5"/>
  </r>
  <r>
    <x v="0"/>
    <x v="0"/>
    <d v="2026-01-30T00:00:00"/>
    <x v="574"/>
    <n v="70"/>
    <n v="4.2"/>
    <n v="7"/>
    <n v="32.4"/>
    <n v="92.9"/>
  </r>
  <r>
    <x v="7"/>
    <x v="7"/>
    <d v="2026-03-11T00:00:00"/>
    <x v="575"/>
    <n v="78.5"/>
    <n v="3.2"/>
    <n v="3"/>
    <n v="32.299999999999997"/>
    <n v="96"/>
  </r>
  <r>
    <x v="15"/>
    <x v="15"/>
    <d v="2026-02-27T00:00:00"/>
    <x v="576"/>
    <n v="82.4"/>
    <n v="0.6"/>
    <n v="7"/>
    <n v="43"/>
    <n v="90.9"/>
  </r>
  <r>
    <x v="8"/>
    <x v="8"/>
    <d v="2026-02-13T00:00:00"/>
    <x v="577"/>
    <n v="25.4"/>
    <n v="0.4"/>
    <n v="7"/>
    <n v="41.8"/>
    <n v="91"/>
  </r>
  <r>
    <x v="3"/>
    <x v="3"/>
    <d v="2026-03-31T00:00:00"/>
    <x v="578"/>
    <n v="40.5"/>
    <n v="2.6"/>
    <n v="8"/>
    <n v="47.8"/>
    <n v="93.6"/>
  </r>
  <r>
    <x v="2"/>
    <x v="2"/>
    <d v="2026-03-20T00:00:00"/>
    <x v="579"/>
    <n v="106.5"/>
    <n v="1.2"/>
    <n v="5"/>
    <n v="65"/>
    <n v="89.9"/>
  </r>
  <r>
    <x v="16"/>
    <x v="16"/>
    <d v="2026-01-12T00:00:00"/>
    <x v="393"/>
    <n v="31"/>
    <n v="1.8"/>
    <n v="4"/>
    <n v="44.4"/>
    <n v="93.9"/>
  </r>
  <r>
    <x v="9"/>
    <x v="9"/>
    <d v="2026-02-09T00:00:00"/>
    <x v="580"/>
    <n v="38.1"/>
    <n v="3.7"/>
    <n v="8"/>
    <n v="58"/>
    <n v="91.6"/>
  </r>
  <r>
    <x v="5"/>
    <x v="5"/>
    <d v="2026-01-26T00:00:00"/>
    <x v="581"/>
    <n v="103.6"/>
    <n v="3.3"/>
    <n v="2"/>
    <n v="35.1"/>
    <n v="85.8"/>
  </r>
  <r>
    <x v="18"/>
    <x v="18"/>
    <d v="2026-01-19T00:00:00"/>
    <x v="582"/>
    <n v="80.099999999999994"/>
    <n v="0.3"/>
    <n v="2"/>
    <n v="43.7"/>
    <n v="92.1"/>
  </r>
  <r>
    <x v="7"/>
    <x v="7"/>
    <d v="2026-01-27T00:00:00"/>
    <x v="583"/>
    <n v="104.9"/>
    <n v="2.5"/>
    <n v="5"/>
    <n v="54.7"/>
    <n v="94.3"/>
  </r>
  <r>
    <x v="8"/>
    <x v="8"/>
    <d v="2026-03-30T00:00:00"/>
    <x v="584"/>
    <n v="118.8"/>
    <n v="2.7"/>
    <n v="1"/>
    <n v="41.5"/>
    <n v="85.9"/>
  </r>
  <r>
    <x v="12"/>
    <x v="12"/>
    <d v="2026-03-31T00:00:00"/>
    <x v="585"/>
    <n v="104.8"/>
    <n v="3"/>
    <n v="1"/>
    <n v="33"/>
    <n v="94.9"/>
  </r>
  <r>
    <x v="4"/>
    <x v="4"/>
    <d v="2026-01-14T00:00:00"/>
    <x v="586"/>
    <n v="16.899999999999999"/>
    <n v="3"/>
    <n v="4"/>
    <n v="74.099999999999994"/>
    <n v="92.6"/>
  </r>
  <r>
    <x v="0"/>
    <x v="0"/>
    <d v="2026-02-10T00:00:00"/>
    <x v="587"/>
    <n v="58.8"/>
    <n v="0.6"/>
    <n v="4"/>
    <n v="52.5"/>
    <n v="91.9"/>
  </r>
  <r>
    <x v="9"/>
    <x v="9"/>
    <d v="2026-01-06T00:00:00"/>
    <x v="588"/>
    <n v="40.5"/>
    <n v="1.6"/>
    <n v="7"/>
    <n v="63.5"/>
    <n v="85.3"/>
  </r>
  <r>
    <x v="4"/>
    <x v="4"/>
    <d v="2026-02-15T00:00:00"/>
    <x v="589"/>
    <n v="90.6"/>
    <n v="4.4000000000000004"/>
    <n v="5"/>
    <n v="66.5"/>
    <n v="94.4"/>
  </r>
  <r>
    <x v="15"/>
    <x v="15"/>
    <d v="2026-01-04T00:00:00"/>
    <x v="590"/>
    <n v="80.099999999999994"/>
    <n v="1.2"/>
    <n v="6"/>
    <n v="70.400000000000006"/>
    <n v="94.9"/>
  </r>
  <r>
    <x v="1"/>
    <x v="1"/>
    <d v="2026-02-18T00:00:00"/>
    <x v="532"/>
    <n v="58.9"/>
    <n v="4"/>
    <n v="4"/>
    <n v="48.8"/>
    <n v="93.6"/>
  </r>
  <r>
    <x v="3"/>
    <x v="3"/>
    <d v="2026-02-09T00:00:00"/>
    <x v="122"/>
    <n v="112.9"/>
    <n v="2.5"/>
    <n v="4"/>
    <n v="59.4"/>
    <n v="93.7"/>
  </r>
  <r>
    <x v="12"/>
    <x v="12"/>
    <d v="2026-01-18T00:00:00"/>
    <x v="370"/>
    <n v="41.3"/>
    <n v="2.5"/>
    <n v="3"/>
    <n v="49.4"/>
    <n v="98.6"/>
  </r>
  <r>
    <x v="8"/>
    <x v="8"/>
    <d v="2026-03-25T00:00:00"/>
    <x v="106"/>
    <n v="80.599999999999994"/>
    <n v="1.6"/>
    <n v="2"/>
    <n v="38.299999999999997"/>
    <n v="97.6"/>
  </r>
  <r>
    <x v="8"/>
    <x v="8"/>
    <d v="2026-01-04T00:00:00"/>
    <x v="591"/>
    <n v="70.2"/>
    <n v="2"/>
    <n v="7"/>
    <n v="43.7"/>
    <n v="96.2"/>
  </r>
  <r>
    <x v="19"/>
    <x v="19"/>
    <d v="2026-01-20T00:00:00"/>
    <x v="592"/>
    <n v="119.3"/>
    <n v="1"/>
    <n v="5"/>
    <n v="57.3"/>
    <n v="94.2"/>
  </r>
  <r>
    <x v="18"/>
    <x v="18"/>
    <d v="2026-01-30T00:00:00"/>
    <x v="593"/>
    <n v="57.6"/>
    <n v="0.5"/>
    <n v="8"/>
    <n v="36"/>
    <n v="97.7"/>
  </r>
  <r>
    <x v="17"/>
    <x v="17"/>
    <d v="2026-03-25T00:00:00"/>
    <x v="594"/>
    <n v="42.8"/>
    <n v="2.2999999999999998"/>
    <n v="3"/>
    <n v="37.4"/>
    <n v="88.4"/>
  </r>
  <r>
    <x v="3"/>
    <x v="3"/>
    <d v="2026-01-02T00:00:00"/>
    <x v="595"/>
    <n v="78.7"/>
    <n v="1.2"/>
    <n v="4"/>
    <n v="64.099999999999994"/>
    <n v="86"/>
  </r>
  <r>
    <x v="13"/>
    <x v="13"/>
    <d v="2026-03-20T00:00:00"/>
    <x v="559"/>
    <n v="71.099999999999994"/>
    <n v="2.2000000000000002"/>
    <n v="4"/>
    <n v="49.2"/>
    <n v="96.6"/>
  </r>
  <r>
    <x v="18"/>
    <x v="18"/>
    <d v="2026-02-18T00:00:00"/>
    <x v="596"/>
    <n v="89.7"/>
    <n v="4.2"/>
    <n v="1"/>
    <n v="53.4"/>
    <n v="91.8"/>
  </r>
  <r>
    <x v="6"/>
    <x v="6"/>
    <d v="2026-02-01T00:00:00"/>
    <x v="597"/>
    <n v="70.3"/>
    <n v="3.4"/>
    <n v="7"/>
    <n v="53.2"/>
    <n v="94.5"/>
  </r>
  <r>
    <x v="6"/>
    <x v="6"/>
    <d v="2026-01-25T00:00:00"/>
    <x v="598"/>
    <n v="48.4"/>
    <n v="1.5"/>
    <n v="5"/>
    <n v="50.8"/>
    <n v="91.3"/>
  </r>
  <r>
    <x v="18"/>
    <x v="18"/>
    <d v="2026-01-07T00:00:00"/>
    <x v="599"/>
    <n v="64"/>
    <n v="2.2000000000000002"/>
    <n v="8"/>
    <n v="34.1"/>
    <n v="92.5"/>
  </r>
  <r>
    <x v="14"/>
    <x v="14"/>
    <d v="2026-03-16T00:00:00"/>
    <x v="600"/>
    <n v="91.2"/>
    <n v="0.8"/>
    <n v="7"/>
    <n v="44.6"/>
    <n v="85.4"/>
  </r>
  <r>
    <x v="13"/>
    <x v="13"/>
    <d v="2026-03-17T00:00:00"/>
    <x v="601"/>
    <n v="78.900000000000006"/>
    <n v="4"/>
    <n v="2"/>
    <n v="41.3"/>
    <n v="95.4"/>
  </r>
  <r>
    <x v="14"/>
    <x v="14"/>
    <d v="2026-01-16T00:00:00"/>
    <x v="602"/>
    <n v="24.2"/>
    <n v="2.9"/>
    <n v="2"/>
    <n v="53.6"/>
    <n v="90.8"/>
  </r>
  <r>
    <x v="11"/>
    <x v="11"/>
    <d v="2026-03-20T00:00:00"/>
    <x v="603"/>
    <n v="112.9"/>
    <n v="1.8"/>
    <n v="3"/>
    <n v="71.099999999999994"/>
    <n v="93.5"/>
  </r>
  <r>
    <x v="8"/>
    <x v="8"/>
    <d v="2026-01-21T00:00:00"/>
    <x v="323"/>
    <n v="122.3"/>
    <n v="3.3"/>
    <n v="7"/>
    <n v="43.9"/>
    <n v="96"/>
  </r>
  <r>
    <x v="13"/>
    <x v="13"/>
    <d v="2026-02-06T00:00:00"/>
    <x v="604"/>
    <n v="100"/>
    <n v="0.8"/>
    <n v="4"/>
    <n v="30.2"/>
    <n v="96.5"/>
  </r>
  <r>
    <x v="9"/>
    <x v="9"/>
    <d v="2026-02-28T00:00:00"/>
    <x v="605"/>
    <n v="63.7"/>
    <n v="3.7"/>
    <n v="8"/>
    <n v="40.700000000000003"/>
    <n v="93.8"/>
  </r>
  <r>
    <x v="17"/>
    <x v="17"/>
    <d v="2026-02-28T00:00:00"/>
    <x v="606"/>
    <n v="76.900000000000006"/>
    <n v="2.8"/>
    <n v="4"/>
    <n v="69.7"/>
    <n v="89.2"/>
  </r>
  <r>
    <x v="2"/>
    <x v="2"/>
    <d v="2026-01-27T00:00:00"/>
    <x v="607"/>
    <n v="30.7"/>
    <n v="3"/>
    <n v="1"/>
    <n v="36.5"/>
    <n v="85.5"/>
  </r>
  <r>
    <x v="16"/>
    <x v="16"/>
    <d v="2026-03-19T00:00:00"/>
    <x v="608"/>
    <n v="36"/>
    <n v="0.4"/>
    <n v="7"/>
    <n v="74.7"/>
    <n v="87.4"/>
  </r>
  <r>
    <x v="10"/>
    <x v="10"/>
    <d v="2026-03-20T00:00:00"/>
    <x v="192"/>
    <n v="69.2"/>
    <n v="2.7"/>
    <n v="3"/>
    <n v="73.5"/>
    <n v="96.2"/>
  </r>
  <r>
    <x v="4"/>
    <x v="4"/>
    <d v="2026-01-05T00:00:00"/>
    <x v="609"/>
    <n v="31.7"/>
    <n v="1.8"/>
    <n v="7"/>
    <n v="66.900000000000006"/>
    <n v="96.4"/>
  </r>
  <r>
    <x v="2"/>
    <x v="2"/>
    <d v="2026-01-09T00:00:00"/>
    <x v="610"/>
    <n v="59.5"/>
    <n v="3.2"/>
    <n v="5"/>
    <n v="44.8"/>
    <n v="91.2"/>
  </r>
  <r>
    <x v="12"/>
    <x v="12"/>
    <d v="2026-03-31T00:00:00"/>
    <x v="611"/>
    <n v="53.2"/>
    <n v="2.7"/>
    <n v="2"/>
    <n v="51.8"/>
    <n v="95.3"/>
  </r>
  <r>
    <x v="10"/>
    <x v="10"/>
    <d v="2026-02-24T00:00:00"/>
    <x v="612"/>
    <n v="83.5"/>
    <n v="2.5"/>
    <n v="6"/>
    <n v="71.7"/>
    <n v="94.2"/>
  </r>
  <r>
    <x v="17"/>
    <x v="17"/>
    <d v="2026-03-08T00:00:00"/>
    <x v="613"/>
    <n v="84.4"/>
    <n v="3.7"/>
    <n v="4"/>
    <n v="61.9"/>
    <n v="99.7"/>
  </r>
  <r>
    <x v="9"/>
    <x v="9"/>
    <d v="2026-01-16T00:00:00"/>
    <x v="614"/>
    <n v="19.8"/>
    <n v="0.7"/>
    <n v="4"/>
    <n v="66"/>
    <n v="100"/>
  </r>
  <r>
    <x v="3"/>
    <x v="3"/>
    <d v="2026-01-06T00:00:00"/>
    <x v="615"/>
    <n v="47.2"/>
    <n v="2.9"/>
    <n v="1"/>
    <n v="58.8"/>
    <n v="95.4"/>
  </r>
  <r>
    <x v="19"/>
    <x v="19"/>
    <d v="2026-01-09T00:00:00"/>
    <x v="539"/>
    <n v="46.5"/>
    <n v="1.6"/>
    <n v="1"/>
    <n v="35.1"/>
    <n v="90"/>
  </r>
  <r>
    <x v="15"/>
    <x v="15"/>
    <d v="2026-03-14T00:00:00"/>
    <x v="339"/>
    <n v="107"/>
    <n v="1"/>
    <n v="6"/>
    <n v="67.5"/>
    <n v="98.8"/>
  </r>
  <r>
    <x v="17"/>
    <x v="17"/>
    <d v="2026-03-02T00:00:00"/>
    <x v="616"/>
    <n v="82.5"/>
    <n v="2.2999999999999998"/>
    <n v="8"/>
    <n v="70.099999999999994"/>
    <n v="93.1"/>
  </r>
  <r>
    <x v="7"/>
    <x v="7"/>
    <d v="2026-03-01T00:00:00"/>
    <x v="617"/>
    <n v="94.5"/>
    <n v="3.4"/>
    <n v="5"/>
    <n v="55.4"/>
    <n v="95.2"/>
  </r>
  <r>
    <x v="2"/>
    <x v="2"/>
    <d v="2026-03-10T00:00:00"/>
    <x v="153"/>
    <n v="19.899999999999999"/>
    <n v="1.6"/>
    <n v="6"/>
    <n v="33"/>
    <n v="87.2"/>
  </r>
  <r>
    <x v="9"/>
    <x v="9"/>
    <d v="2026-02-13T00:00:00"/>
    <x v="618"/>
    <n v="98.8"/>
    <n v="3.8"/>
    <n v="7"/>
    <n v="38.4"/>
    <n v="86.8"/>
  </r>
  <r>
    <x v="10"/>
    <x v="10"/>
    <d v="2026-02-10T00:00:00"/>
    <x v="619"/>
    <n v="97"/>
    <n v="0.6"/>
    <n v="4"/>
    <n v="46.7"/>
    <n v="97.4"/>
  </r>
  <r>
    <x v="10"/>
    <x v="10"/>
    <d v="2026-01-28T00:00:00"/>
    <x v="620"/>
    <n v="83.8"/>
    <n v="1.8"/>
    <n v="1"/>
    <n v="65"/>
    <n v="98.7"/>
  </r>
  <r>
    <x v="13"/>
    <x v="13"/>
    <d v="2026-03-06T00:00:00"/>
    <x v="621"/>
    <n v="21.7"/>
    <n v="2.4"/>
    <n v="4"/>
    <n v="45.3"/>
    <n v="92.3"/>
  </r>
  <r>
    <x v="11"/>
    <x v="11"/>
    <d v="2026-02-09T00:00:00"/>
    <x v="622"/>
    <n v="115.1"/>
    <n v="3.9"/>
    <n v="3"/>
    <n v="39.200000000000003"/>
    <n v="85.5"/>
  </r>
  <r>
    <x v="15"/>
    <x v="15"/>
    <d v="2026-03-08T00:00:00"/>
    <x v="623"/>
    <n v="33.799999999999997"/>
    <n v="0.4"/>
    <n v="2"/>
    <n v="45"/>
    <n v="98.3"/>
  </r>
  <r>
    <x v="0"/>
    <x v="0"/>
    <d v="2026-03-08T00:00:00"/>
    <x v="624"/>
    <n v="75.5"/>
    <n v="0.3"/>
    <n v="5"/>
    <n v="58.7"/>
    <n v="88.1"/>
  </r>
  <r>
    <x v="12"/>
    <x v="12"/>
    <d v="2026-01-25T00:00:00"/>
    <x v="338"/>
    <n v="43.9"/>
    <n v="3.5"/>
    <n v="2"/>
    <n v="42.3"/>
    <n v="87.4"/>
  </r>
  <r>
    <x v="0"/>
    <x v="0"/>
    <d v="2026-01-02T00:00:00"/>
    <x v="625"/>
    <n v="100.8"/>
    <n v="0.6"/>
    <n v="6"/>
    <n v="54.7"/>
    <n v="89.1"/>
  </r>
  <r>
    <x v="10"/>
    <x v="10"/>
    <d v="2026-03-15T00:00:00"/>
    <x v="626"/>
    <n v="57"/>
    <n v="2.8"/>
    <n v="6"/>
    <n v="54.3"/>
    <n v="85.8"/>
  </r>
  <r>
    <x v="9"/>
    <x v="9"/>
    <d v="2026-03-02T00:00:00"/>
    <x v="627"/>
    <n v="141.1"/>
    <n v="1.8"/>
    <n v="2"/>
    <n v="49.2"/>
    <n v="87.7"/>
  </r>
  <r>
    <x v="18"/>
    <x v="18"/>
    <d v="2026-03-17T00:00:00"/>
    <x v="628"/>
    <n v="67.099999999999994"/>
    <n v="2.1"/>
    <n v="6"/>
    <n v="44.1"/>
    <n v="97.3"/>
  </r>
  <r>
    <x v="2"/>
    <x v="2"/>
    <d v="2026-01-11T00:00:00"/>
    <x v="629"/>
    <n v="91"/>
    <n v="2.2000000000000002"/>
    <n v="3"/>
    <n v="34.200000000000003"/>
    <n v="97"/>
  </r>
  <r>
    <x v="13"/>
    <x v="13"/>
    <d v="2026-01-13T00:00:00"/>
    <x v="630"/>
    <n v="53.5"/>
    <n v="3.3"/>
    <n v="8"/>
    <n v="51.2"/>
    <n v="99.2"/>
  </r>
  <r>
    <x v="8"/>
    <x v="8"/>
    <d v="2026-03-20T00:00:00"/>
    <x v="631"/>
    <n v="46.4"/>
    <n v="1"/>
    <n v="6"/>
    <n v="65.5"/>
    <n v="98.2"/>
  </r>
  <r>
    <x v="13"/>
    <x v="13"/>
    <d v="2026-03-04T00:00:00"/>
    <x v="632"/>
    <n v="22.3"/>
    <n v="1.7"/>
    <n v="8"/>
    <n v="68.099999999999994"/>
    <n v="89.2"/>
  </r>
  <r>
    <x v="4"/>
    <x v="4"/>
    <d v="2026-03-19T00:00:00"/>
    <x v="633"/>
    <n v="70.099999999999994"/>
    <n v="1.9"/>
    <n v="2"/>
    <n v="44.7"/>
    <n v="94.7"/>
  </r>
  <r>
    <x v="10"/>
    <x v="10"/>
    <d v="2026-03-10T00:00:00"/>
    <x v="634"/>
    <n v="57"/>
    <n v="1.2"/>
    <n v="4"/>
    <n v="54.7"/>
    <n v="99.6"/>
  </r>
  <r>
    <x v="15"/>
    <x v="15"/>
    <d v="2026-01-09T00:00:00"/>
    <x v="635"/>
    <n v="41.2"/>
    <n v="2.7"/>
    <n v="7"/>
    <n v="55.5"/>
    <n v="90.1"/>
  </r>
  <r>
    <x v="5"/>
    <x v="5"/>
    <d v="2026-01-23T00:00:00"/>
    <x v="636"/>
    <n v="108"/>
    <n v="4.2"/>
    <n v="8"/>
    <n v="35.1"/>
    <n v="93.9"/>
  </r>
  <r>
    <x v="7"/>
    <x v="7"/>
    <d v="2026-03-13T00:00:00"/>
    <x v="637"/>
    <n v="29"/>
    <n v="1.5"/>
    <n v="7"/>
    <n v="33.1"/>
    <n v="86.6"/>
  </r>
  <r>
    <x v="18"/>
    <x v="18"/>
    <d v="2026-02-18T00:00:00"/>
    <x v="638"/>
    <n v="44.3"/>
    <n v="0.5"/>
    <n v="4"/>
    <n v="66.8"/>
    <n v="98.3"/>
  </r>
  <r>
    <x v="9"/>
    <x v="9"/>
    <d v="2026-01-19T00:00:00"/>
    <x v="192"/>
    <n v="80.7"/>
    <n v="1.5"/>
    <n v="8"/>
    <n v="38.799999999999997"/>
    <n v="95.2"/>
  </r>
  <r>
    <x v="7"/>
    <x v="7"/>
    <d v="2026-02-08T00:00:00"/>
    <x v="639"/>
    <n v="55.3"/>
    <n v="1.5"/>
    <n v="7"/>
    <n v="62.3"/>
    <n v="98.7"/>
  </r>
  <r>
    <x v="1"/>
    <x v="1"/>
    <d v="2026-03-16T00:00:00"/>
    <x v="119"/>
    <n v="15.2"/>
    <n v="1.9"/>
    <n v="3"/>
    <n v="68.400000000000006"/>
    <n v="85.9"/>
  </r>
  <r>
    <x v="2"/>
    <x v="2"/>
    <d v="2026-01-07T00:00:00"/>
    <x v="640"/>
    <n v="18.600000000000001"/>
    <n v="4.4000000000000004"/>
    <n v="2"/>
    <n v="68.8"/>
    <n v="98"/>
  </r>
  <r>
    <x v="5"/>
    <x v="5"/>
    <d v="2026-02-25T00:00:00"/>
    <x v="641"/>
    <n v="87.9"/>
    <n v="1.6"/>
    <n v="7"/>
    <n v="48.3"/>
    <n v="91.5"/>
  </r>
  <r>
    <x v="12"/>
    <x v="12"/>
    <d v="2026-03-26T00:00:00"/>
    <x v="642"/>
    <n v="45.4"/>
    <n v="2.6"/>
    <n v="6"/>
    <n v="67.8"/>
    <n v="87.3"/>
  </r>
  <r>
    <x v="8"/>
    <x v="8"/>
    <d v="2026-01-18T00:00:00"/>
    <x v="643"/>
    <n v="18.5"/>
    <n v="0.8"/>
    <n v="8"/>
    <n v="59.6"/>
    <n v="99.6"/>
  </r>
  <r>
    <x v="8"/>
    <x v="8"/>
    <d v="2026-01-11T00:00:00"/>
    <x v="644"/>
    <n v="26.3"/>
    <n v="3.9"/>
    <n v="7"/>
    <n v="58"/>
    <n v="91.8"/>
  </r>
  <r>
    <x v="3"/>
    <x v="3"/>
    <d v="2026-03-12T00:00:00"/>
    <x v="645"/>
    <n v="99.9"/>
    <n v="1.2"/>
    <n v="7"/>
    <n v="57.2"/>
    <n v="93.7"/>
  </r>
  <r>
    <x v="5"/>
    <x v="5"/>
    <d v="2026-03-06T00:00:00"/>
    <x v="545"/>
    <n v="33.9"/>
    <n v="2.7"/>
    <n v="1"/>
    <n v="74"/>
    <n v="93.5"/>
  </r>
  <r>
    <x v="4"/>
    <x v="4"/>
    <d v="2026-01-15T00:00:00"/>
    <x v="646"/>
    <n v="54.6"/>
    <n v="0.5"/>
    <n v="5"/>
    <n v="50.9"/>
    <n v="86.2"/>
  </r>
  <r>
    <x v="18"/>
    <x v="18"/>
    <d v="2026-01-12T00:00:00"/>
    <x v="647"/>
    <n v="37.9"/>
    <n v="3.1"/>
    <n v="2"/>
    <n v="60.8"/>
    <n v="93.1"/>
  </r>
  <r>
    <x v="16"/>
    <x v="16"/>
    <d v="2026-02-09T00:00:00"/>
    <x v="558"/>
    <n v="58.6"/>
    <n v="2.5"/>
    <n v="1"/>
    <n v="51.1"/>
    <n v="92.7"/>
  </r>
  <r>
    <x v="17"/>
    <x v="17"/>
    <d v="2026-03-15T00:00:00"/>
    <x v="648"/>
    <n v="89.3"/>
    <n v="4.3"/>
    <n v="5"/>
    <n v="43"/>
    <n v="85.5"/>
  </r>
  <r>
    <x v="18"/>
    <x v="18"/>
    <d v="2026-02-08T00:00:00"/>
    <x v="649"/>
    <n v="80.7"/>
    <n v="0.5"/>
    <n v="8"/>
    <n v="56"/>
    <n v="93.6"/>
  </r>
  <r>
    <x v="10"/>
    <x v="10"/>
    <d v="2026-03-21T00:00:00"/>
    <x v="650"/>
    <n v="21.9"/>
    <n v="2.2999999999999998"/>
    <n v="2"/>
    <n v="68.3"/>
    <n v="89.2"/>
  </r>
  <r>
    <x v="8"/>
    <x v="8"/>
    <d v="2026-03-20T00:00:00"/>
    <x v="651"/>
    <n v="36"/>
    <n v="0.3"/>
    <n v="2"/>
    <n v="57.2"/>
    <n v="98.7"/>
  </r>
  <r>
    <x v="8"/>
    <x v="8"/>
    <d v="2026-03-26T00:00:00"/>
    <x v="652"/>
    <n v="49.2"/>
    <n v="1.3"/>
    <n v="4"/>
    <n v="51.8"/>
    <n v="97"/>
  </r>
  <r>
    <x v="6"/>
    <x v="6"/>
    <d v="2026-02-13T00:00:00"/>
    <x v="653"/>
    <n v="82.1"/>
    <n v="2.8"/>
    <n v="3"/>
    <n v="67.7"/>
    <n v="96.3"/>
  </r>
  <r>
    <x v="3"/>
    <x v="3"/>
    <d v="2026-02-19T00:00:00"/>
    <x v="654"/>
    <n v="42.1"/>
    <n v="2.9"/>
    <n v="4"/>
    <n v="56"/>
    <n v="97.6"/>
  </r>
  <r>
    <x v="6"/>
    <x v="6"/>
    <d v="2026-03-24T00:00:00"/>
    <x v="655"/>
    <n v="35.5"/>
    <n v="0.4"/>
    <n v="8"/>
    <n v="47.9"/>
    <n v="89.5"/>
  </r>
  <r>
    <x v="2"/>
    <x v="2"/>
    <d v="2026-01-30T00:00:00"/>
    <x v="656"/>
    <n v="46.9"/>
    <n v="2.2000000000000002"/>
    <n v="3"/>
    <n v="53.9"/>
    <n v="91.5"/>
  </r>
  <r>
    <x v="10"/>
    <x v="10"/>
    <d v="2026-02-27T00:00:00"/>
    <x v="657"/>
    <n v="60.6"/>
    <n v="2.5"/>
    <n v="1"/>
    <n v="34.4"/>
    <n v="93"/>
  </r>
  <r>
    <x v="4"/>
    <x v="4"/>
    <d v="2026-02-25T00:00:00"/>
    <x v="658"/>
    <n v="67.099999999999994"/>
    <n v="1.4"/>
    <n v="5"/>
    <n v="42"/>
    <n v="86.5"/>
  </r>
  <r>
    <x v="16"/>
    <x v="16"/>
    <d v="2026-02-20T00:00:00"/>
    <x v="634"/>
    <n v="54.2"/>
    <n v="1.2"/>
    <n v="4"/>
    <n v="53.4"/>
    <n v="95.2"/>
  </r>
  <r>
    <x v="14"/>
    <x v="14"/>
    <d v="2026-02-10T00:00:00"/>
    <x v="659"/>
    <n v="61.2"/>
    <n v="3.8"/>
    <n v="1"/>
    <n v="48.5"/>
    <n v="92.9"/>
  </r>
  <r>
    <x v="13"/>
    <x v="13"/>
    <d v="2026-02-14T00:00:00"/>
    <x v="660"/>
    <n v="45.2"/>
    <n v="1"/>
    <n v="1"/>
    <n v="57.9"/>
    <n v="85.9"/>
  </r>
  <r>
    <x v="18"/>
    <x v="18"/>
    <d v="2026-03-26T00:00:00"/>
    <x v="661"/>
    <n v="121.3"/>
    <n v="2.8"/>
    <n v="2"/>
    <n v="61.9"/>
    <n v="86.8"/>
  </r>
  <r>
    <x v="18"/>
    <x v="18"/>
    <d v="2026-01-17T00:00:00"/>
    <x v="662"/>
    <n v="45.1"/>
    <n v="3"/>
    <n v="3"/>
    <n v="70.3"/>
    <n v="95.4"/>
  </r>
  <r>
    <x v="19"/>
    <x v="19"/>
    <d v="2026-02-07T00:00:00"/>
    <x v="663"/>
    <n v="47.5"/>
    <n v="2.9"/>
    <n v="5"/>
    <n v="64.599999999999994"/>
    <n v="95.4"/>
  </r>
  <r>
    <x v="7"/>
    <x v="7"/>
    <d v="2026-02-02T00:00:00"/>
    <x v="205"/>
    <n v="46.6"/>
    <n v="3.5"/>
    <n v="7"/>
    <n v="47.5"/>
    <n v="99.9"/>
  </r>
  <r>
    <x v="19"/>
    <x v="19"/>
    <d v="2026-02-03T00:00:00"/>
    <x v="664"/>
    <n v="48.8"/>
    <n v="4.4000000000000004"/>
    <n v="4"/>
    <n v="57.5"/>
    <n v="87.7"/>
  </r>
  <r>
    <x v="17"/>
    <x v="17"/>
    <d v="2026-01-14T00:00:00"/>
    <x v="665"/>
    <n v="27.3"/>
    <n v="1.1000000000000001"/>
    <n v="2"/>
    <n v="71.099999999999994"/>
    <n v="95.7"/>
  </r>
  <r>
    <x v="0"/>
    <x v="0"/>
    <d v="2026-01-05T00:00:00"/>
    <x v="666"/>
    <n v="24.6"/>
    <n v="1.3"/>
    <n v="8"/>
    <n v="30.8"/>
    <n v="92.5"/>
  </r>
  <r>
    <x v="9"/>
    <x v="9"/>
    <d v="2026-01-05T00:00:00"/>
    <x v="667"/>
    <n v="92.6"/>
    <n v="3.2"/>
    <n v="7"/>
    <n v="55.9"/>
    <n v="92.7"/>
  </r>
  <r>
    <x v="17"/>
    <x v="17"/>
    <d v="2026-03-03T00:00:00"/>
    <x v="668"/>
    <n v="47.5"/>
    <n v="3.6"/>
    <n v="2"/>
    <n v="54.3"/>
    <n v="85"/>
  </r>
  <r>
    <x v="17"/>
    <x v="17"/>
    <d v="2026-01-16T00:00:00"/>
    <x v="669"/>
    <n v="54.4"/>
    <n v="1.7"/>
    <n v="5"/>
    <n v="48"/>
    <n v="94.5"/>
  </r>
  <r>
    <x v="1"/>
    <x v="1"/>
    <d v="2026-02-16T00:00:00"/>
    <x v="670"/>
    <n v="51.5"/>
    <n v="0.5"/>
    <n v="8"/>
    <n v="64.2"/>
    <n v="89.3"/>
  </r>
  <r>
    <x v="12"/>
    <x v="12"/>
    <d v="2026-01-23T00:00:00"/>
    <x v="176"/>
    <n v="52.7"/>
    <n v="3"/>
    <n v="5"/>
    <n v="61.3"/>
    <n v="98.4"/>
  </r>
  <r>
    <x v="4"/>
    <x v="4"/>
    <d v="2026-03-04T00:00:00"/>
    <x v="53"/>
    <n v="24.7"/>
    <n v="3.4"/>
    <n v="3"/>
    <n v="31.6"/>
    <n v="85.4"/>
  </r>
  <r>
    <x v="16"/>
    <x v="16"/>
    <d v="2026-01-31T00:00:00"/>
    <x v="671"/>
    <n v="87.9"/>
    <n v="2.5"/>
    <n v="5"/>
    <n v="52.5"/>
    <n v="99.5"/>
  </r>
  <r>
    <x v="13"/>
    <x v="13"/>
    <d v="2026-01-03T00:00:00"/>
    <x v="672"/>
    <n v="31.7"/>
    <n v="3.6"/>
    <n v="1"/>
    <n v="48.2"/>
    <n v="88.2"/>
  </r>
  <r>
    <x v="11"/>
    <x v="11"/>
    <d v="2026-02-28T00:00:00"/>
    <x v="673"/>
    <n v="83.1"/>
    <n v="2.5"/>
    <n v="4"/>
    <n v="71.599999999999994"/>
    <n v="85.6"/>
  </r>
  <r>
    <x v="8"/>
    <x v="8"/>
    <d v="2026-03-04T00:00:00"/>
    <x v="243"/>
    <n v="79"/>
    <n v="4.0999999999999996"/>
    <n v="1"/>
    <n v="40.9"/>
    <n v="94.7"/>
  </r>
  <r>
    <x v="9"/>
    <x v="9"/>
    <d v="2026-01-23T00:00:00"/>
    <x v="674"/>
    <n v="59.9"/>
    <n v="3.7"/>
    <n v="2"/>
    <n v="50.5"/>
    <n v="87.6"/>
  </r>
  <r>
    <x v="16"/>
    <x v="16"/>
    <d v="2026-01-09T00:00:00"/>
    <x v="675"/>
    <n v="123.9"/>
    <n v="2.2999999999999998"/>
    <n v="4"/>
    <n v="32.799999999999997"/>
    <n v="88"/>
  </r>
  <r>
    <x v="7"/>
    <x v="7"/>
    <d v="2026-03-28T00:00:00"/>
    <x v="676"/>
    <n v="73.2"/>
    <n v="3.1"/>
    <n v="3"/>
    <n v="44.5"/>
    <n v="99.5"/>
  </r>
  <r>
    <x v="12"/>
    <x v="12"/>
    <d v="2026-01-06T00:00:00"/>
    <x v="677"/>
    <n v="80.8"/>
    <n v="0.7"/>
    <n v="3"/>
    <n v="64.099999999999994"/>
    <n v="87.5"/>
  </r>
  <r>
    <x v="4"/>
    <x v="4"/>
    <d v="2026-03-12T00:00:00"/>
    <x v="678"/>
    <n v="40.799999999999997"/>
    <n v="2.7"/>
    <n v="3"/>
    <n v="34.5"/>
    <n v="97.7"/>
  </r>
  <r>
    <x v="18"/>
    <x v="18"/>
    <d v="2026-02-18T00:00:00"/>
    <x v="679"/>
    <n v="129.4"/>
    <n v="2.2999999999999998"/>
    <n v="1"/>
    <n v="30.3"/>
    <n v="98.9"/>
  </r>
  <r>
    <x v="16"/>
    <x v="16"/>
    <d v="2026-02-06T00:00:00"/>
    <x v="680"/>
    <n v="47"/>
    <n v="3.5"/>
    <n v="3"/>
    <n v="39.299999999999997"/>
    <n v="94.6"/>
  </r>
  <r>
    <x v="11"/>
    <x v="11"/>
    <d v="2026-02-27T00:00:00"/>
    <x v="681"/>
    <n v="43.6"/>
    <n v="2.8"/>
    <n v="1"/>
    <n v="56.8"/>
    <n v="95.8"/>
  </r>
  <r>
    <x v="18"/>
    <x v="18"/>
    <d v="2026-01-12T00:00:00"/>
    <x v="682"/>
    <n v="63.5"/>
    <n v="1.7"/>
    <n v="1"/>
    <n v="55.1"/>
    <n v="87.9"/>
  </r>
  <r>
    <x v="11"/>
    <x v="11"/>
    <d v="2026-01-13T00:00:00"/>
    <x v="683"/>
    <n v="60.2"/>
    <n v="4.4000000000000004"/>
    <n v="4"/>
    <n v="50.9"/>
    <n v="94.4"/>
  </r>
  <r>
    <x v="12"/>
    <x v="12"/>
    <d v="2026-02-05T00:00:00"/>
    <x v="684"/>
    <n v="32.1"/>
    <n v="0.8"/>
    <n v="8"/>
    <n v="52.4"/>
    <n v="87.4"/>
  </r>
  <r>
    <x v="6"/>
    <x v="6"/>
    <d v="2026-01-07T00:00:00"/>
    <x v="685"/>
    <n v="89.3"/>
    <n v="2.1"/>
    <n v="6"/>
    <n v="57.8"/>
    <n v="98.4"/>
  </r>
  <r>
    <x v="13"/>
    <x v="13"/>
    <d v="2026-01-06T00:00:00"/>
    <x v="686"/>
    <n v="40.299999999999997"/>
    <n v="2.5"/>
    <n v="3"/>
    <n v="65.3"/>
    <n v="92.3"/>
  </r>
  <r>
    <x v="0"/>
    <x v="0"/>
    <d v="2026-01-10T00:00:00"/>
    <x v="687"/>
    <n v="86.6"/>
    <n v="2.7"/>
    <n v="6"/>
    <n v="48.9"/>
    <n v="96.2"/>
  </r>
  <r>
    <x v="7"/>
    <x v="7"/>
    <d v="2026-01-30T00:00:00"/>
    <x v="688"/>
    <n v="100"/>
    <n v="0.6"/>
    <n v="7"/>
    <n v="69.099999999999994"/>
    <n v="90.6"/>
  </r>
  <r>
    <x v="5"/>
    <x v="5"/>
    <d v="2026-01-10T00:00:00"/>
    <x v="689"/>
    <n v="61.9"/>
    <n v="4"/>
    <n v="3"/>
    <n v="39.700000000000003"/>
    <n v="94.1"/>
  </r>
  <r>
    <x v="14"/>
    <x v="14"/>
    <d v="2026-02-19T00:00:00"/>
    <x v="690"/>
    <n v="54.1"/>
    <n v="1"/>
    <n v="6"/>
    <n v="73.900000000000006"/>
    <n v="88"/>
  </r>
  <r>
    <x v="8"/>
    <x v="8"/>
    <d v="2026-01-05T00:00:00"/>
    <x v="691"/>
    <n v="113.5"/>
    <n v="0.8"/>
    <n v="8"/>
    <n v="50.6"/>
    <n v="87.6"/>
  </r>
  <r>
    <x v="7"/>
    <x v="7"/>
    <d v="2026-01-29T00:00:00"/>
    <x v="692"/>
    <n v="92.1"/>
    <n v="3.6"/>
    <n v="3"/>
    <n v="56"/>
    <n v="93.3"/>
  </r>
  <r>
    <x v="5"/>
    <x v="5"/>
    <d v="2026-01-12T00:00:00"/>
    <x v="693"/>
    <n v="55.2"/>
    <n v="3.9"/>
    <n v="4"/>
    <n v="56.6"/>
    <n v="97.6"/>
  </r>
  <r>
    <x v="19"/>
    <x v="19"/>
    <d v="2026-01-02T00:00:00"/>
    <x v="694"/>
    <n v="73.099999999999994"/>
    <n v="1.3"/>
    <n v="6"/>
    <n v="49.5"/>
    <n v="88.3"/>
  </r>
  <r>
    <x v="16"/>
    <x v="16"/>
    <d v="2026-01-20T00:00:00"/>
    <x v="695"/>
    <n v="80"/>
    <n v="2"/>
    <n v="1"/>
    <n v="31.8"/>
    <n v="92.1"/>
  </r>
  <r>
    <x v="11"/>
    <x v="11"/>
    <d v="2026-01-05T00:00:00"/>
    <x v="696"/>
    <n v="61.5"/>
    <n v="3.7"/>
    <n v="2"/>
    <n v="50.4"/>
    <n v="88.6"/>
  </r>
  <r>
    <x v="2"/>
    <x v="2"/>
    <d v="2026-01-02T00:00:00"/>
    <x v="697"/>
    <n v="86.3"/>
    <n v="1.1000000000000001"/>
    <n v="6"/>
    <n v="43.3"/>
    <n v="94.7"/>
  </r>
  <r>
    <x v="1"/>
    <x v="1"/>
    <d v="2026-01-03T00:00:00"/>
    <x v="229"/>
    <n v="71.099999999999994"/>
    <n v="3.2"/>
    <n v="1"/>
    <n v="73.900000000000006"/>
    <n v="92"/>
  </r>
  <r>
    <x v="8"/>
    <x v="8"/>
    <d v="2026-02-21T00:00:00"/>
    <x v="698"/>
    <n v="28.8"/>
    <n v="2.9"/>
    <n v="1"/>
    <n v="68.7"/>
    <n v="86.1"/>
  </r>
  <r>
    <x v="7"/>
    <x v="7"/>
    <d v="2026-03-09T00:00:00"/>
    <x v="699"/>
    <n v="23.3"/>
    <n v="1.4"/>
    <n v="4"/>
    <n v="65.400000000000006"/>
    <n v="86.2"/>
  </r>
  <r>
    <x v="7"/>
    <x v="7"/>
    <d v="2026-01-08T00:00:00"/>
    <x v="700"/>
    <n v="51.5"/>
    <n v="1.8"/>
    <n v="1"/>
    <n v="35"/>
    <n v="90.5"/>
  </r>
  <r>
    <x v="18"/>
    <x v="18"/>
    <d v="2026-01-06T00:00:00"/>
    <x v="125"/>
    <n v="65.8"/>
    <n v="2.6"/>
    <n v="2"/>
    <n v="55.2"/>
    <n v="96.6"/>
  </r>
  <r>
    <x v="8"/>
    <x v="8"/>
    <d v="2026-02-12T00:00:00"/>
    <x v="701"/>
    <n v="54.2"/>
    <n v="2.2999999999999998"/>
    <n v="4"/>
    <n v="63.9"/>
    <n v="96.4"/>
  </r>
  <r>
    <x v="7"/>
    <x v="7"/>
    <d v="2026-02-15T00:00:00"/>
    <x v="702"/>
    <n v="99.1"/>
    <n v="2"/>
    <n v="1"/>
    <n v="32.9"/>
    <n v="90.2"/>
  </r>
  <r>
    <x v="17"/>
    <x v="17"/>
    <d v="2026-03-06T00:00:00"/>
    <x v="703"/>
    <n v="87.8"/>
    <n v="3.3"/>
    <n v="5"/>
    <n v="50.3"/>
    <n v="90.5"/>
  </r>
  <r>
    <x v="1"/>
    <x v="1"/>
    <d v="2026-01-25T00:00:00"/>
    <x v="704"/>
    <n v="101.6"/>
    <n v="0.5"/>
    <n v="3"/>
    <n v="43"/>
    <n v="99.3"/>
  </r>
  <r>
    <x v="0"/>
    <x v="0"/>
    <d v="2026-01-22T00:00:00"/>
    <x v="705"/>
    <n v="38.9"/>
    <n v="2.2999999999999998"/>
    <n v="4"/>
    <n v="53.4"/>
    <n v="94.4"/>
  </r>
  <r>
    <x v="10"/>
    <x v="10"/>
    <d v="2026-02-23T00:00:00"/>
    <x v="706"/>
    <n v="102.9"/>
    <n v="0.8"/>
    <n v="6"/>
    <n v="48.9"/>
    <n v="96.1"/>
  </r>
  <r>
    <x v="9"/>
    <x v="9"/>
    <d v="2026-02-07T00:00:00"/>
    <x v="707"/>
    <n v="52.5"/>
    <n v="3.6"/>
    <n v="6"/>
    <n v="48.5"/>
    <n v="90.1"/>
  </r>
  <r>
    <x v="7"/>
    <x v="7"/>
    <d v="2026-03-04T00:00:00"/>
    <x v="708"/>
    <n v="64"/>
    <n v="3.8"/>
    <n v="8"/>
    <n v="50.6"/>
    <n v="93.5"/>
  </r>
  <r>
    <x v="10"/>
    <x v="10"/>
    <d v="2026-01-22T00:00:00"/>
    <x v="709"/>
    <n v="109"/>
    <n v="1.8"/>
    <n v="5"/>
    <n v="64.599999999999994"/>
    <n v="85.7"/>
  </r>
  <r>
    <x v="4"/>
    <x v="4"/>
    <d v="2026-02-06T00:00:00"/>
    <x v="710"/>
    <n v="76.5"/>
    <n v="4.2"/>
    <n v="5"/>
    <n v="38.200000000000003"/>
    <n v="87.6"/>
  </r>
  <r>
    <x v="8"/>
    <x v="8"/>
    <d v="2026-01-21T00:00:00"/>
    <x v="654"/>
    <n v="57.7"/>
    <n v="1.6"/>
    <n v="3"/>
    <n v="49.8"/>
    <n v="90.5"/>
  </r>
  <r>
    <x v="12"/>
    <x v="12"/>
    <d v="2026-03-13T00:00:00"/>
    <x v="711"/>
    <n v="74.3"/>
    <n v="4.4000000000000004"/>
    <n v="3"/>
    <n v="46.8"/>
    <n v="93.1"/>
  </r>
  <r>
    <x v="14"/>
    <x v="14"/>
    <d v="2026-03-10T00:00:00"/>
    <x v="712"/>
    <n v="36.299999999999997"/>
    <n v="1.9"/>
    <n v="8"/>
    <n v="64.599999999999994"/>
    <n v="99.2"/>
  </r>
  <r>
    <x v="7"/>
    <x v="7"/>
    <d v="2026-01-20T00:00:00"/>
    <x v="713"/>
    <n v="17"/>
    <n v="4.4000000000000004"/>
    <n v="6"/>
    <n v="59.1"/>
    <n v="89.4"/>
  </r>
  <r>
    <x v="10"/>
    <x v="10"/>
    <d v="2026-03-15T00:00:00"/>
    <x v="714"/>
    <n v="65.900000000000006"/>
    <n v="3.3"/>
    <n v="8"/>
    <n v="45.2"/>
    <n v="86.7"/>
  </r>
  <r>
    <x v="17"/>
    <x v="17"/>
    <d v="2026-01-06T00:00:00"/>
    <x v="715"/>
    <n v="30.7"/>
    <n v="1.5"/>
    <n v="7"/>
    <n v="57.8"/>
    <n v="88.3"/>
  </r>
  <r>
    <x v="4"/>
    <x v="4"/>
    <d v="2026-01-12T00:00:00"/>
    <x v="716"/>
    <n v="45.2"/>
    <n v="1"/>
    <n v="4"/>
    <n v="65.2"/>
    <n v="92"/>
  </r>
  <r>
    <x v="12"/>
    <x v="12"/>
    <d v="2026-01-03T00:00:00"/>
    <x v="717"/>
    <n v="21.8"/>
    <n v="3.1"/>
    <n v="2"/>
    <n v="73.900000000000006"/>
    <n v="90.9"/>
  </r>
  <r>
    <x v="17"/>
    <x v="17"/>
    <d v="2026-02-10T00:00:00"/>
    <x v="718"/>
    <n v="72.5"/>
    <n v="0.4"/>
    <n v="6"/>
    <n v="47.9"/>
    <n v="95.7"/>
  </r>
  <r>
    <x v="3"/>
    <x v="3"/>
    <d v="2026-02-17T00:00:00"/>
    <x v="719"/>
    <n v="78.7"/>
    <n v="1.7"/>
    <n v="5"/>
    <n v="74"/>
    <n v="98.1"/>
  </r>
  <r>
    <x v="1"/>
    <x v="1"/>
    <d v="2026-01-28T00:00:00"/>
    <x v="720"/>
    <n v="87.3"/>
    <n v="4.5"/>
    <n v="8"/>
    <n v="43"/>
    <n v="97.1"/>
  </r>
  <r>
    <x v="3"/>
    <x v="3"/>
    <d v="2026-02-23T00:00:00"/>
    <x v="715"/>
    <n v="30"/>
    <n v="0.6"/>
    <n v="4"/>
    <n v="43.6"/>
    <n v="99.8"/>
  </r>
  <r>
    <x v="11"/>
    <x v="11"/>
    <d v="2026-02-12T00:00:00"/>
    <x v="721"/>
    <n v="19.399999999999999"/>
    <n v="3.5"/>
    <n v="2"/>
    <n v="30.3"/>
    <n v="94.6"/>
  </r>
  <r>
    <x v="19"/>
    <x v="19"/>
    <d v="2026-02-23T00:00:00"/>
    <x v="722"/>
    <n v="35.700000000000003"/>
    <n v="2.6"/>
    <n v="3"/>
    <n v="39"/>
    <n v="97.5"/>
  </r>
  <r>
    <x v="10"/>
    <x v="10"/>
    <d v="2026-03-12T00:00:00"/>
    <x v="723"/>
    <n v="52.1"/>
    <n v="1.5"/>
    <n v="5"/>
    <n v="52.2"/>
    <n v="96.1"/>
  </r>
  <r>
    <x v="5"/>
    <x v="5"/>
    <d v="2026-01-04T00:00:00"/>
    <x v="724"/>
    <n v="115.9"/>
    <n v="1.5"/>
    <n v="8"/>
    <n v="35.6"/>
    <n v="95"/>
  </r>
  <r>
    <x v="10"/>
    <x v="10"/>
    <d v="2026-02-23T00:00:00"/>
    <x v="725"/>
    <n v="27.9"/>
    <n v="3"/>
    <n v="1"/>
    <n v="35.4"/>
    <n v="89.2"/>
  </r>
  <r>
    <x v="1"/>
    <x v="1"/>
    <d v="2026-03-18T00:00:00"/>
    <x v="726"/>
    <n v="81.5"/>
    <n v="2.6"/>
    <n v="5"/>
    <n v="58.3"/>
    <n v="92.1"/>
  </r>
  <r>
    <x v="0"/>
    <x v="0"/>
    <d v="2026-02-17T00:00:00"/>
    <x v="727"/>
    <n v="61.9"/>
    <n v="3.8"/>
    <n v="3"/>
    <n v="56.2"/>
    <n v="87.2"/>
  </r>
  <r>
    <x v="13"/>
    <x v="13"/>
    <d v="2026-03-30T00:00:00"/>
    <x v="728"/>
    <n v="40.1"/>
    <n v="1.4"/>
    <n v="7"/>
    <n v="58.6"/>
    <n v="99.3"/>
  </r>
  <r>
    <x v="6"/>
    <x v="6"/>
    <d v="2026-02-07T00:00:00"/>
    <x v="356"/>
    <n v="41.5"/>
    <n v="0.5"/>
    <n v="4"/>
    <n v="64.5"/>
    <n v="87.7"/>
  </r>
  <r>
    <x v="0"/>
    <x v="0"/>
    <d v="2026-03-18T00:00:00"/>
    <x v="729"/>
    <n v="84"/>
    <n v="4"/>
    <n v="5"/>
    <n v="42.2"/>
    <n v="95.5"/>
  </r>
  <r>
    <x v="4"/>
    <x v="4"/>
    <d v="2026-01-13T00:00:00"/>
    <x v="730"/>
    <n v="74.099999999999994"/>
    <n v="0.8"/>
    <n v="3"/>
    <n v="53.3"/>
    <n v="90.6"/>
  </r>
  <r>
    <x v="17"/>
    <x v="17"/>
    <d v="2026-02-22T00:00:00"/>
    <x v="731"/>
    <n v="39.200000000000003"/>
    <n v="0.6"/>
    <n v="3"/>
    <n v="52.7"/>
    <n v="97.5"/>
  </r>
  <r>
    <x v="2"/>
    <x v="2"/>
    <d v="2026-03-20T00:00:00"/>
    <x v="732"/>
    <n v="62.4"/>
    <n v="3.8"/>
    <n v="2"/>
    <n v="48.8"/>
    <n v="98.7"/>
  </r>
  <r>
    <x v="9"/>
    <x v="9"/>
    <d v="2026-01-01T00:00:00"/>
    <x v="733"/>
    <n v="120"/>
    <n v="1.5"/>
    <n v="4"/>
    <n v="55"/>
    <n v="96"/>
  </r>
  <r>
    <x v="6"/>
    <x v="6"/>
    <d v="2026-01-02T00:00:00"/>
    <x v="707"/>
    <n v="25"/>
    <n v="12"/>
    <n v="3"/>
    <n v="20"/>
    <n v="92"/>
  </r>
  <r>
    <x v="1"/>
    <x v="1"/>
    <d v="2026-01-03T00:00:00"/>
    <x v="98"/>
    <n v="15"/>
    <n v="1"/>
    <n v="5"/>
    <n v="60"/>
    <n v="98"/>
  </r>
  <r>
    <x v="0"/>
    <x v="0"/>
    <d v="2026-01-04T00:00:00"/>
    <x v="734"/>
    <n v="55"/>
    <n v="2"/>
    <n v="4"/>
    <n v="50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D4655-D622-48A4-BE07-B1F1D6412BE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rowHeaderCaption="Vehicle_ID">
  <location ref="A22:B28" firstHeaderRow="1" firstDataRow="1" firstDataCol="1"/>
  <pivotFields count="9">
    <pivotField axis="axisRow" showAll="0" measureFilter="1" sortType="descending">
      <items count="21">
        <item x="9"/>
        <item x="6"/>
        <item x="1"/>
        <item x="0"/>
        <item x="8"/>
        <item x="14"/>
        <item x="12"/>
        <item x="5"/>
        <item x="19"/>
        <item x="10"/>
        <item x="7"/>
        <item x="4"/>
        <item x="15"/>
        <item x="3"/>
        <item x="13"/>
        <item x="17"/>
        <item x="11"/>
        <item x="2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>
      <items count="736">
        <item x="640"/>
        <item x="713"/>
        <item x="119"/>
        <item x="116"/>
        <item x="300"/>
        <item x="643"/>
        <item x="362"/>
        <item x="342"/>
        <item x="337"/>
        <item x="153"/>
        <item x="586"/>
        <item x="569"/>
        <item x="372"/>
        <item x="614"/>
        <item x="621"/>
        <item x="534"/>
        <item x="65"/>
        <item x="650"/>
        <item x="369"/>
        <item x="536"/>
        <item x="632"/>
        <item x="479"/>
        <item x="699"/>
        <item x="401"/>
        <item x="273"/>
        <item x="440"/>
        <item x="672"/>
        <item x="395"/>
        <item x="506"/>
        <item x="265"/>
        <item x="93"/>
        <item x="68"/>
        <item x="354"/>
        <item x="607"/>
        <item x="427"/>
        <item x="66"/>
        <item x="27"/>
        <item x="684"/>
        <item x="178"/>
        <item x="31"/>
        <item x="18"/>
        <item x="552"/>
        <item x="365"/>
        <item x="182"/>
        <item x="13"/>
        <item x="61"/>
        <item x="139"/>
        <item x="721"/>
        <item x="184"/>
        <item x="379"/>
        <item x="160"/>
        <item x="349"/>
        <item x="330"/>
        <item x="22"/>
        <item x="511"/>
        <item x="666"/>
        <item x="203"/>
        <item x="573"/>
        <item x="264"/>
        <item x="253"/>
        <item x="577"/>
        <item x="717"/>
        <item x="53"/>
        <item x="333"/>
        <item x="287"/>
        <item x="439"/>
        <item x="602"/>
        <item x="609"/>
        <item x="24"/>
        <item x="428"/>
        <item x="355"/>
        <item x="143"/>
        <item x="121"/>
        <item x="637"/>
        <item x="130"/>
        <item x="367"/>
        <item x="315"/>
        <item x="41"/>
        <item x="686"/>
        <item x="224"/>
        <item x="393"/>
        <item x="136"/>
        <item x="85"/>
        <item x="69"/>
        <item x="473"/>
        <item x="154"/>
        <item x="623"/>
        <item x="458"/>
        <item x="32"/>
        <item x="144"/>
        <item x="198"/>
        <item x="471"/>
        <item x="92"/>
        <item x="206"/>
        <item x="83"/>
        <item x="19"/>
        <item x="578"/>
        <item x="211"/>
        <item x="249"/>
        <item x="431"/>
        <item x="57"/>
        <item x="215"/>
        <item x="728"/>
        <item x="312"/>
        <item x="644"/>
        <item x="715"/>
        <item x="128"/>
        <item x="444"/>
        <item x="212"/>
        <item x="665"/>
        <item x="114"/>
        <item x="391"/>
        <item x="40"/>
        <item x="158"/>
        <item x="245"/>
        <item x="196"/>
        <item x="570"/>
        <item x="383"/>
        <item x="359"/>
        <item x="36"/>
        <item x="15"/>
        <item x="549"/>
        <item x="489"/>
        <item x="205"/>
        <item x="332"/>
        <item x="678"/>
        <item x="487"/>
        <item x="482"/>
        <item x="113"/>
        <item x="311"/>
        <item x="313"/>
        <item x="272"/>
        <item x="476"/>
        <item x="580"/>
        <item x="642"/>
        <item x="485"/>
        <item x="722"/>
        <item x="74"/>
        <item x="664"/>
        <item x="502"/>
        <item x="347"/>
        <item x="725"/>
        <item x="26"/>
        <item x="262"/>
        <item x="698"/>
        <item x="544"/>
        <item x="499"/>
        <item x="707"/>
        <item x="48"/>
        <item x="563"/>
        <item x="216"/>
        <item x="218"/>
        <item x="44"/>
        <item x="350"/>
        <item x="353"/>
        <item x="307"/>
        <item x="257"/>
        <item x="483"/>
        <item x="611"/>
        <item x="88"/>
        <item x="445"/>
        <item x="133"/>
        <item x="660"/>
        <item x="2"/>
        <item x="375"/>
        <item x="284"/>
        <item x="422"/>
        <item x="523"/>
        <item x="593"/>
        <item x="60"/>
        <item x="521"/>
        <item x="118"/>
        <item x="396"/>
        <item x="654"/>
        <item x="701"/>
        <item x="341"/>
        <item x="626"/>
        <item x="647"/>
        <item x="588"/>
        <item x="542"/>
        <item x="291"/>
        <item x="67"/>
        <item x="296"/>
        <item x="185"/>
        <item x="250"/>
        <item x="571"/>
        <item x="631"/>
        <item x="242"/>
        <item x="11"/>
        <item x="655"/>
        <item x="4"/>
        <item x="453"/>
        <item x="319"/>
        <item x="290"/>
        <item x="545"/>
        <item x="232"/>
        <item x="357"/>
        <item x="239"/>
        <item x="705"/>
        <item x="334"/>
        <item x="3"/>
        <item x="45"/>
        <item x="77"/>
        <item x="397"/>
        <item x="651"/>
        <item x="238"/>
        <item x="235"/>
        <item x="338"/>
        <item x="540"/>
        <item x="515"/>
        <item x="598"/>
        <item x="356"/>
        <item x="386"/>
        <item x="610"/>
        <item x="411"/>
        <item x="285"/>
        <item x="171"/>
        <item x="420"/>
        <item x="608"/>
        <item x="293"/>
        <item x="51"/>
        <item x="712"/>
        <item x="539"/>
        <item x="370"/>
        <item x="54"/>
        <item x="142"/>
        <item x="49"/>
        <item x="188"/>
        <item x="34"/>
        <item x="286"/>
        <item x="107"/>
        <item x="52"/>
        <item x="75"/>
        <item x="484"/>
        <item x="716"/>
        <item x="638"/>
        <item x="166"/>
        <item x="459"/>
        <item x="80"/>
        <item x="221"/>
        <item x="371"/>
        <item x="461"/>
        <item x="292"/>
        <item x="156"/>
        <item x="167"/>
        <item x="615"/>
        <item x="179"/>
        <item x="731"/>
        <item x="635"/>
        <item x="382"/>
        <item x="366"/>
        <item x="450"/>
        <item x="352"/>
        <item x="199"/>
        <item x="96"/>
        <item x="317"/>
        <item x="147"/>
        <item x="516"/>
        <item x="368"/>
        <item x="412"/>
        <item x="189"/>
        <item x="268"/>
        <item x="385"/>
        <item x="170"/>
        <item x="441"/>
        <item x="165"/>
        <item x="125"/>
        <item x="174"/>
        <item x="7"/>
        <item x="343"/>
        <item x="278"/>
        <item x="690"/>
        <item x="594"/>
        <item x="662"/>
        <item x="494"/>
        <item x="734"/>
        <item x="656"/>
        <item x="126"/>
        <item x="414"/>
        <item x="657"/>
        <item x="331"/>
        <item x="336"/>
        <item x="719"/>
        <item x="403"/>
        <item x="448"/>
        <item x="310"/>
        <item x="129"/>
        <item x="64"/>
        <item x="321"/>
        <item x="254"/>
        <item x="519"/>
        <item x="469"/>
        <item x="324"/>
        <item x="132"/>
        <item x="297"/>
        <item x="565"/>
        <item x="676"/>
        <item x="25"/>
        <item x="408"/>
        <item x="79"/>
        <item x="409"/>
        <item x="486"/>
        <item x="358"/>
        <item x="101"/>
        <item x="606"/>
        <item x="693"/>
        <item x="681"/>
        <item x="472"/>
        <item x="260"/>
        <item x="55"/>
        <item x="680"/>
        <item x="456"/>
        <item x="236"/>
        <item x="175"/>
        <item x="546"/>
        <item x="1"/>
        <item x="181"/>
        <item x="38"/>
        <item x="465"/>
        <item x="498"/>
        <item x="696"/>
        <item x="58"/>
        <item x="183"/>
        <item x="141"/>
        <item x="668"/>
        <item x="295"/>
        <item x="210"/>
        <item x="248"/>
        <item x="329"/>
        <item x="652"/>
        <item x="475"/>
        <item x="21"/>
        <item x="630"/>
        <item x="710"/>
        <item x="219"/>
        <item x="466"/>
        <item x="733"/>
        <item x="513"/>
        <item x="634"/>
        <item x="161"/>
        <item x="8"/>
        <item x="477"/>
        <item x="481"/>
        <item x="387"/>
        <item x="663"/>
        <item x="124"/>
        <item x="413"/>
        <item x="689"/>
        <item x="480"/>
        <item x="222"/>
        <item x="303"/>
        <item x="187"/>
        <item x="229"/>
        <item x="587"/>
        <item x="28"/>
        <item x="572"/>
        <item x="78"/>
        <item x="671"/>
        <item x="105"/>
        <item x="559"/>
        <item x="723"/>
        <item x="12"/>
        <item x="507"/>
        <item x="214"/>
        <item x="605"/>
        <item x="301"/>
        <item x="123"/>
        <item x="164"/>
        <item x="140"/>
        <item x="438"/>
        <item x="504"/>
        <item x="200"/>
        <item x="727"/>
        <item x="490"/>
        <item x="700"/>
        <item x="241"/>
        <item x="322"/>
        <item x="335"/>
        <item x="597"/>
        <item x="95"/>
        <item x="460"/>
        <item x="532"/>
        <item x="33"/>
        <item x="435"/>
        <item x="538"/>
        <item x="344"/>
        <item x="277"/>
        <item x="434"/>
        <item x="620"/>
        <item x="109"/>
        <item x="703"/>
        <item x="150"/>
        <item x="497"/>
        <item x="730"/>
        <item x="670"/>
        <item x="35"/>
        <item x="258"/>
        <item x="556"/>
        <item x="555"/>
        <item x="659"/>
        <item x="537"/>
        <item x="271"/>
        <item x="103"/>
        <item x="305"/>
        <item x="176"/>
        <item x="527"/>
        <item x="228"/>
        <item x="263"/>
        <item x="281"/>
        <item x="501"/>
        <item x="575"/>
        <item x="669"/>
        <item x="318"/>
        <item x="639"/>
        <item x="390"/>
        <item x="201"/>
        <item x="633"/>
        <item x="564"/>
        <item x="528"/>
        <item x="259"/>
        <item x="325"/>
        <item x="270"/>
        <item x="646"/>
        <item x="406"/>
        <item x="363"/>
        <item x="340"/>
        <item x="309"/>
        <item x="677"/>
        <item x="708"/>
        <item x="162"/>
        <item x="168"/>
        <item x="568"/>
        <item x="149"/>
        <item x="47"/>
        <item x="82"/>
        <item x="288"/>
        <item x="172"/>
        <item x="718"/>
        <item x="267"/>
        <item x="163"/>
        <item x="120"/>
        <item x="612"/>
        <item x="76"/>
        <item x="658"/>
        <item x="217"/>
        <item x="308"/>
        <item x="558"/>
        <item x="417"/>
        <item x="180"/>
        <item x="339"/>
        <item x="585"/>
        <item x="683"/>
        <item x="425"/>
        <item x="207"/>
        <item x="589"/>
        <item x="326"/>
        <item x="604"/>
        <item x="682"/>
        <item x="223"/>
        <item x="628"/>
        <item x="112"/>
        <item x="530"/>
        <item x="674"/>
        <item x="416"/>
        <item x="402"/>
        <item x="378"/>
        <item x="233"/>
        <item x="117"/>
        <item x="377"/>
        <item x="306"/>
        <item x="209"/>
        <item x="474"/>
        <item x="685"/>
        <item x="299"/>
        <item x="404"/>
        <item x="531"/>
        <item x="243"/>
        <item x="328"/>
        <item x="10"/>
        <item x="275"/>
        <item x="493"/>
        <item x="384"/>
        <item x="192"/>
        <item x="488"/>
        <item x="636"/>
        <item x="667"/>
        <item x="714"/>
        <item x="388"/>
        <item x="23"/>
        <item x="194"/>
        <item x="467"/>
        <item x="520"/>
        <item x="146"/>
        <item x="227"/>
        <item x="432"/>
        <item x="159"/>
        <item x="115"/>
        <item x="407"/>
        <item x="581"/>
        <item x="90"/>
        <item x="37"/>
        <item x="89"/>
        <item x="732"/>
        <item x="599"/>
        <item x="244"/>
        <item x="691"/>
        <item x="697"/>
        <item x="419"/>
        <item x="512"/>
        <item x="50"/>
        <item x="508"/>
        <item x="584"/>
        <item x="514"/>
        <item x="641"/>
        <item x="169"/>
        <item x="152"/>
        <item x="373"/>
        <item x="39"/>
        <item x="711"/>
        <item x="274"/>
        <item x="619"/>
        <item x="360"/>
        <item x="442"/>
        <item x="255"/>
        <item x="173"/>
        <item x="596"/>
        <item x="525"/>
        <item x="14"/>
        <item x="426"/>
        <item x="193"/>
        <item x="649"/>
        <item x="157"/>
        <item x="720"/>
        <item x="613"/>
        <item x="694"/>
        <item x="351"/>
        <item x="648"/>
        <item x="294"/>
        <item x="186"/>
        <item x="30"/>
        <item x="220"/>
        <item x="583"/>
        <item x="346"/>
        <item x="0"/>
        <item x="455"/>
        <item x="81"/>
        <item x="190"/>
        <item x="561"/>
        <item x="726"/>
        <item x="148"/>
        <item x="574"/>
        <item x="533"/>
        <item x="522"/>
        <item x="729"/>
        <item x="576"/>
        <item x="454"/>
        <item x="20"/>
        <item x="99"/>
        <item x="553"/>
        <item x="381"/>
        <item x="399"/>
        <item x="451"/>
        <item x="151"/>
        <item x="543"/>
        <item x="591"/>
        <item x="567"/>
        <item x="624"/>
        <item x="204"/>
        <item x="208"/>
        <item x="446"/>
        <item x="398"/>
        <item x="314"/>
        <item x="622"/>
        <item x="557"/>
        <item x="457"/>
        <item x="679"/>
        <item x="70"/>
        <item x="56"/>
        <item x="688"/>
        <item x="592"/>
        <item x="400"/>
        <item x="195"/>
        <item x="110"/>
        <item x="617"/>
        <item x="410"/>
        <item x="709"/>
        <item x="135"/>
        <item x="283"/>
        <item x="240"/>
        <item x="724"/>
        <item x="374"/>
        <item x="423"/>
        <item x="551"/>
        <item x="72"/>
        <item x="616"/>
        <item x="541"/>
        <item x="524"/>
        <item x="405"/>
        <item x="191"/>
        <item x="463"/>
        <item x="500"/>
        <item x="526"/>
        <item x="548"/>
        <item x="675"/>
        <item x="645"/>
        <item x="364"/>
        <item x="9"/>
        <item x="505"/>
        <item x="246"/>
        <item x="348"/>
        <item x="91"/>
        <item x="496"/>
        <item x="5"/>
        <item x="443"/>
        <item x="302"/>
        <item x="562"/>
        <item x="424"/>
        <item x="436"/>
        <item x="59"/>
        <item x="449"/>
        <item x="547"/>
        <item x="155"/>
        <item x="566"/>
        <item x="145"/>
        <item x="138"/>
        <item x="304"/>
        <item x="73"/>
        <item x="437"/>
        <item x="63"/>
        <item x="503"/>
        <item x="392"/>
        <item x="345"/>
        <item x="87"/>
        <item x="316"/>
        <item x="43"/>
        <item x="98"/>
        <item x="492"/>
        <item x="394"/>
        <item x="582"/>
        <item x="323"/>
        <item x="16"/>
        <item x="84"/>
        <item x="452"/>
        <item x="100"/>
        <item x="380"/>
        <item x="692"/>
        <item x="550"/>
        <item x="529"/>
        <item x="478"/>
        <item x="704"/>
        <item x="415"/>
        <item x="661"/>
        <item x="687"/>
        <item x="298"/>
        <item x="230"/>
        <item x="601"/>
        <item x="702"/>
        <item x="518"/>
        <item x="554"/>
        <item x="495"/>
        <item x="627"/>
        <item x="289"/>
        <item x="177"/>
        <item x="122"/>
        <item x="197"/>
        <item x="695"/>
        <item x="269"/>
        <item x="127"/>
        <item x="462"/>
        <item x="247"/>
        <item x="17"/>
        <item x="280"/>
        <item x="433"/>
        <item x="225"/>
        <item x="231"/>
        <item x="595"/>
        <item x="29"/>
        <item x="468"/>
        <item x="282"/>
        <item x="560"/>
        <item x="535"/>
        <item x="102"/>
        <item x="106"/>
        <item x="213"/>
        <item x="104"/>
        <item x="447"/>
        <item x="237"/>
        <item x="256"/>
        <item x="600"/>
        <item x="46"/>
        <item x="673"/>
        <item x="71"/>
        <item x="590"/>
        <item x="97"/>
        <item x="137"/>
        <item x="62"/>
        <item x="376"/>
        <item x="603"/>
        <item x="418"/>
        <item x="131"/>
        <item x="94"/>
        <item x="361"/>
        <item x="111"/>
        <item x="429"/>
        <item x="517"/>
        <item x="266"/>
        <item x="625"/>
        <item x="470"/>
        <item x="430"/>
        <item x="510"/>
        <item x="108"/>
        <item x="389"/>
        <item x="491"/>
        <item x="706"/>
        <item x="464"/>
        <item x="261"/>
        <item x="629"/>
        <item x="42"/>
        <item x="276"/>
        <item x="234"/>
        <item x="252"/>
        <item x="618"/>
        <item x="653"/>
        <item x="6"/>
        <item x="134"/>
        <item x="279"/>
        <item x="320"/>
        <item x="86"/>
        <item x="251"/>
        <item x="327"/>
        <item x="421"/>
        <item x="509"/>
        <item x="579"/>
        <item x="226"/>
        <item x="20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6">
    <i>
      <x v="17"/>
    </i>
    <i>
      <x v="10"/>
    </i>
    <i>
      <x v="19"/>
    </i>
    <i>
      <x v="4"/>
    </i>
    <i>
      <x v="2"/>
    </i>
    <i t="grand">
      <x/>
    </i>
  </rowItems>
  <colItems count="1">
    <i/>
  </colItems>
  <dataFields count="1">
    <dataField name="Sum of Fuel_Consumed_L" fld="4" baseField="0" baseItem="0"/>
  </dataField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C639E-DA2D-49C4-AEBE-80618276BB3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rowHeaderCaption="Vehicle_ID">
  <location ref="A12:B18" firstHeaderRow="1" firstDataRow="1" firstDataCol="1"/>
  <pivotFields count="9">
    <pivotField axis="axisRow" showAll="0" measureFilter="1" sortType="descending">
      <items count="21">
        <item x="9"/>
        <item x="6"/>
        <item x="1"/>
        <item x="0"/>
        <item x="8"/>
        <item x="14"/>
        <item x="12"/>
        <item x="5"/>
        <item x="19"/>
        <item x="10"/>
        <item x="7"/>
        <item x="4"/>
        <item x="15"/>
        <item x="3"/>
        <item x="13"/>
        <item x="17"/>
        <item x="11"/>
        <item x="2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showAll="0">
      <items count="736">
        <item x="640"/>
        <item x="713"/>
        <item x="119"/>
        <item x="116"/>
        <item x="300"/>
        <item x="643"/>
        <item x="362"/>
        <item x="342"/>
        <item x="337"/>
        <item x="153"/>
        <item x="586"/>
        <item x="569"/>
        <item x="372"/>
        <item x="614"/>
        <item x="621"/>
        <item x="534"/>
        <item x="65"/>
        <item x="650"/>
        <item x="369"/>
        <item x="536"/>
        <item x="632"/>
        <item x="479"/>
        <item x="699"/>
        <item x="401"/>
        <item x="273"/>
        <item x="440"/>
        <item x="672"/>
        <item x="395"/>
        <item x="506"/>
        <item x="265"/>
        <item x="93"/>
        <item x="68"/>
        <item x="354"/>
        <item x="607"/>
        <item x="427"/>
        <item x="66"/>
        <item x="27"/>
        <item x="684"/>
        <item x="178"/>
        <item x="31"/>
        <item x="18"/>
        <item x="552"/>
        <item x="365"/>
        <item x="182"/>
        <item x="13"/>
        <item x="61"/>
        <item x="139"/>
        <item x="721"/>
        <item x="184"/>
        <item x="379"/>
        <item x="160"/>
        <item x="349"/>
        <item x="330"/>
        <item x="22"/>
        <item x="511"/>
        <item x="666"/>
        <item x="203"/>
        <item x="573"/>
        <item x="264"/>
        <item x="253"/>
        <item x="577"/>
        <item x="717"/>
        <item x="53"/>
        <item x="333"/>
        <item x="287"/>
        <item x="439"/>
        <item x="602"/>
        <item x="609"/>
        <item x="24"/>
        <item x="428"/>
        <item x="355"/>
        <item x="143"/>
        <item x="121"/>
        <item x="637"/>
        <item x="130"/>
        <item x="367"/>
        <item x="315"/>
        <item x="41"/>
        <item x="686"/>
        <item x="224"/>
        <item x="393"/>
        <item x="136"/>
        <item x="85"/>
        <item x="69"/>
        <item x="473"/>
        <item x="154"/>
        <item x="623"/>
        <item x="458"/>
        <item x="32"/>
        <item x="144"/>
        <item x="198"/>
        <item x="471"/>
        <item x="92"/>
        <item x="206"/>
        <item x="83"/>
        <item x="19"/>
        <item x="578"/>
        <item x="211"/>
        <item x="249"/>
        <item x="431"/>
        <item x="57"/>
        <item x="215"/>
        <item x="728"/>
        <item x="312"/>
        <item x="644"/>
        <item x="715"/>
        <item x="128"/>
        <item x="444"/>
        <item x="212"/>
        <item x="665"/>
        <item x="114"/>
        <item x="391"/>
        <item x="40"/>
        <item x="158"/>
        <item x="245"/>
        <item x="196"/>
        <item x="570"/>
        <item x="383"/>
        <item x="359"/>
        <item x="36"/>
        <item x="15"/>
        <item x="549"/>
        <item x="489"/>
        <item x="205"/>
        <item x="332"/>
        <item x="678"/>
        <item x="487"/>
        <item x="482"/>
        <item x="113"/>
        <item x="311"/>
        <item x="313"/>
        <item x="272"/>
        <item x="476"/>
        <item x="580"/>
        <item x="642"/>
        <item x="485"/>
        <item x="722"/>
        <item x="74"/>
        <item x="664"/>
        <item x="502"/>
        <item x="347"/>
        <item x="725"/>
        <item x="26"/>
        <item x="262"/>
        <item x="698"/>
        <item x="544"/>
        <item x="499"/>
        <item x="707"/>
        <item x="48"/>
        <item x="563"/>
        <item x="216"/>
        <item x="218"/>
        <item x="44"/>
        <item x="350"/>
        <item x="353"/>
        <item x="307"/>
        <item x="257"/>
        <item x="483"/>
        <item x="611"/>
        <item x="88"/>
        <item x="445"/>
        <item x="133"/>
        <item x="660"/>
        <item x="2"/>
        <item x="375"/>
        <item x="284"/>
        <item x="422"/>
        <item x="523"/>
        <item x="593"/>
        <item x="60"/>
        <item x="521"/>
        <item x="118"/>
        <item x="396"/>
        <item x="654"/>
        <item x="701"/>
        <item x="341"/>
        <item x="626"/>
        <item x="647"/>
        <item x="588"/>
        <item x="542"/>
        <item x="291"/>
        <item x="67"/>
        <item x="296"/>
        <item x="185"/>
        <item x="250"/>
        <item x="571"/>
        <item x="631"/>
        <item x="242"/>
        <item x="11"/>
        <item x="655"/>
        <item x="4"/>
        <item x="453"/>
        <item x="319"/>
        <item x="290"/>
        <item x="545"/>
        <item x="232"/>
        <item x="357"/>
        <item x="239"/>
        <item x="705"/>
        <item x="334"/>
        <item x="3"/>
        <item x="45"/>
        <item x="77"/>
        <item x="397"/>
        <item x="651"/>
        <item x="238"/>
        <item x="235"/>
        <item x="338"/>
        <item x="540"/>
        <item x="515"/>
        <item x="598"/>
        <item x="356"/>
        <item x="386"/>
        <item x="610"/>
        <item x="411"/>
        <item x="285"/>
        <item x="171"/>
        <item x="420"/>
        <item x="608"/>
        <item x="293"/>
        <item x="51"/>
        <item x="712"/>
        <item x="539"/>
        <item x="370"/>
        <item x="54"/>
        <item x="142"/>
        <item x="49"/>
        <item x="188"/>
        <item x="34"/>
        <item x="286"/>
        <item x="107"/>
        <item x="52"/>
        <item x="75"/>
        <item x="484"/>
        <item x="716"/>
        <item x="638"/>
        <item x="166"/>
        <item x="459"/>
        <item x="80"/>
        <item x="221"/>
        <item x="371"/>
        <item x="461"/>
        <item x="292"/>
        <item x="156"/>
        <item x="167"/>
        <item x="615"/>
        <item x="179"/>
        <item x="731"/>
        <item x="635"/>
        <item x="382"/>
        <item x="366"/>
        <item x="450"/>
        <item x="352"/>
        <item x="199"/>
        <item x="96"/>
        <item x="317"/>
        <item x="147"/>
        <item x="516"/>
        <item x="368"/>
        <item x="412"/>
        <item x="189"/>
        <item x="268"/>
        <item x="385"/>
        <item x="170"/>
        <item x="441"/>
        <item x="165"/>
        <item x="125"/>
        <item x="174"/>
        <item x="7"/>
        <item x="343"/>
        <item x="278"/>
        <item x="690"/>
        <item x="594"/>
        <item x="662"/>
        <item x="494"/>
        <item x="734"/>
        <item x="656"/>
        <item x="126"/>
        <item x="414"/>
        <item x="657"/>
        <item x="331"/>
        <item x="336"/>
        <item x="719"/>
        <item x="403"/>
        <item x="448"/>
        <item x="310"/>
        <item x="129"/>
        <item x="64"/>
        <item x="321"/>
        <item x="254"/>
        <item x="519"/>
        <item x="469"/>
        <item x="324"/>
        <item x="132"/>
        <item x="297"/>
        <item x="565"/>
        <item x="676"/>
        <item x="25"/>
        <item x="408"/>
        <item x="79"/>
        <item x="409"/>
        <item x="486"/>
        <item x="358"/>
        <item x="101"/>
        <item x="606"/>
        <item x="693"/>
        <item x="681"/>
        <item x="472"/>
        <item x="260"/>
        <item x="55"/>
        <item x="680"/>
        <item x="456"/>
        <item x="236"/>
        <item x="175"/>
        <item x="546"/>
        <item x="1"/>
        <item x="181"/>
        <item x="38"/>
        <item x="465"/>
        <item x="498"/>
        <item x="696"/>
        <item x="58"/>
        <item x="183"/>
        <item x="141"/>
        <item x="668"/>
        <item x="295"/>
        <item x="210"/>
        <item x="248"/>
        <item x="329"/>
        <item x="652"/>
        <item x="475"/>
        <item x="21"/>
        <item x="630"/>
        <item x="710"/>
        <item x="219"/>
        <item x="466"/>
        <item x="733"/>
        <item x="513"/>
        <item x="634"/>
        <item x="161"/>
        <item x="8"/>
        <item x="477"/>
        <item x="481"/>
        <item x="387"/>
        <item x="663"/>
        <item x="124"/>
        <item x="413"/>
        <item x="689"/>
        <item x="480"/>
        <item x="222"/>
        <item x="303"/>
        <item x="187"/>
        <item x="229"/>
        <item x="587"/>
        <item x="28"/>
        <item x="572"/>
        <item x="78"/>
        <item x="671"/>
        <item x="105"/>
        <item x="559"/>
        <item x="723"/>
        <item x="12"/>
        <item x="507"/>
        <item x="214"/>
        <item x="605"/>
        <item x="301"/>
        <item x="123"/>
        <item x="164"/>
        <item x="140"/>
        <item x="438"/>
        <item x="504"/>
        <item x="200"/>
        <item x="727"/>
        <item x="490"/>
        <item x="700"/>
        <item x="241"/>
        <item x="322"/>
        <item x="335"/>
        <item x="597"/>
        <item x="95"/>
        <item x="460"/>
        <item x="532"/>
        <item x="33"/>
        <item x="435"/>
        <item x="538"/>
        <item x="344"/>
        <item x="277"/>
        <item x="434"/>
        <item x="620"/>
        <item x="109"/>
        <item x="703"/>
        <item x="150"/>
        <item x="497"/>
        <item x="730"/>
        <item x="670"/>
        <item x="35"/>
        <item x="258"/>
        <item x="556"/>
        <item x="555"/>
        <item x="659"/>
        <item x="537"/>
        <item x="271"/>
        <item x="103"/>
        <item x="305"/>
        <item x="176"/>
        <item x="527"/>
        <item x="228"/>
        <item x="263"/>
        <item x="281"/>
        <item x="501"/>
        <item x="575"/>
        <item x="669"/>
        <item x="318"/>
        <item x="639"/>
        <item x="390"/>
        <item x="201"/>
        <item x="633"/>
        <item x="564"/>
        <item x="528"/>
        <item x="259"/>
        <item x="325"/>
        <item x="270"/>
        <item x="646"/>
        <item x="406"/>
        <item x="363"/>
        <item x="340"/>
        <item x="309"/>
        <item x="677"/>
        <item x="708"/>
        <item x="162"/>
        <item x="168"/>
        <item x="568"/>
        <item x="149"/>
        <item x="47"/>
        <item x="82"/>
        <item x="288"/>
        <item x="172"/>
        <item x="718"/>
        <item x="267"/>
        <item x="163"/>
        <item x="120"/>
        <item x="612"/>
        <item x="76"/>
        <item x="658"/>
        <item x="217"/>
        <item x="308"/>
        <item x="558"/>
        <item x="417"/>
        <item x="180"/>
        <item x="339"/>
        <item x="585"/>
        <item x="683"/>
        <item x="425"/>
        <item x="207"/>
        <item x="589"/>
        <item x="326"/>
        <item x="604"/>
        <item x="682"/>
        <item x="223"/>
        <item x="628"/>
        <item x="112"/>
        <item x="530"/>
        <item x="674"/>
        <item x="416"/>
        <item x="402"/>
        <item x="378"/>
        <item x="233"/>
        <item x="117"/>
        <item x="377"/>
        <item x="306"/>
        <item x="209"/>
        <item x="474"/>
        <item x="685"/>
        <item x="299"/>
        <item x="404"/>
        <item x="531"/>
        <item x="243"/>
        <item x="328"/>
        <item x="10"/>
        <item x="275"/>
        <item x="493"/>
        <item x="384"/>
        <item x="192"/>
        <item x="488"/>
        <item x="636"/>
        <item x="667"/>
        <item x="714"/>
        <item x="388"/>
        <item x="23"/>
        <item x="194"/>
        <item x="467"/>
        <item x="520"/>
        <item x="146"/>
        <item x="227"/>
        <item x="432"/>
        <item x="159"/>
        <item x="115"/>
        <item x="407"/>
        <item x="581"/>
        <item x="90"/>
        <item x="37"/>
        <item x="89"/>
        <item x="732"/>
        <item x="599"/>
        <item x="244"/>
        <item x="691"/>
        <item x="697"/>
        <item x="419"/>
        <item x="512"/>
        <item x="50"/>
        <item x="508"/>
        <item x="584"/>
        <item x="514"/>
        <item x="641"/>
        <item x="169"/>
        <item x="152"/>
        <item x="373"/>
        <item x="39"/>
        <item x="711"/>
        <item x="274"/>
        <item x="619"/>
        <item x="360"/>
        <item x="442"/>
        <item x="255"/>
        <item x="173"/>
        <item x="596"/>
        <item x="525"/>
        <item x="14"/>
        <item x="426"/>
        <item x="193"/>
        <item x="649"/>
        <item x="157"/>
        <item x="720"/>
        <item x="613"/>
        <item x="694"/>
        <item x="351"/>
        <item x="648"/>
        <item x="294"/>
        <item x="186"/>
        <item x="30"/>
        <item x="220"/>
        <item x="583"/>
        <item x="346"/>
        <item x="0"/>
        <item x="455"/>
        <item x="81"/>
        <item x="190"/>
        <item x="561"/>
        <item x="726"/>
        <item x="148"/>
        <item x="574"/>
        <item x="533"/>
        <item x="522"/>
        <item x="729"/>
        <item x="576"/>
        <item x="454"/>
        <item x="20"/>
        <item x="99"/>
        <item x="553"/>
        <item x="381"/>
        <item x="399"/>
        <item x="451"/>
        <item x="151"/>
        <item x="543"/>
        <item x="591"/>
        <item x="567"/>
        <item x="624"/>
        <item x="204"/>
        <item x="208"/>
        <item x="446"/>
        <item x="398"/>
        <item x="314"/>
        <item x="622"/>
        <item x="557"/>
        <item x="457"/>
        <item x="679"/>
        <item x="70"/>
        <item x="56"/>
        <item x="688"/>
        <item x="592"/>
        <item x="400"/>
        <item x="195"/>
        <item x="110"/>
        <item x="617"/>
        <item x="410"/>
        <item x="709"/>
        <item x="135"/>
        <item x="283"/>
        <item x="240"/>
        <item x="724"/>
        <item x="374"/>
        <item x="423"/>
        <item x="551"/>
        <item x="72"/>
        <item x="616"/>
        <item x="541"/>
        <item x="524"/>
        <item x="405"/>
        <item x="191"/>
        <item x="463"/>
        <item x="500"/>
        <item x="526"/>
        <item x="548"/>
        <item x="675"/>
        <item x="645"/>
        <item x="364"/>
        <item x="9"/>
        <item x="505"/>
        <item x="246"/>
        <item x="348"/>
        <item x="91"/>
        <item x="496"/>
        <item x="5"/>
        <item x="443"/>
        <item x="302"/>
        <item x="562"/>
        <item x="424"/>
        <item x="436"/>
        <item x="59"/>
        <item x="449"/>
        <item x="547"/>
        <item x="155"/>
        <item x="566"/>
        <item x="145"/>
        <item x="138"/>
        <item x="304"/>
        <item x="73"/>
        <item x="437"/>
        <item x="63"/>
        <item x="503"/>
        <item x="392"/>
        <item x="345"/>
        <item x="87"/>
        <item x="316"/>
        <item x="43"/>
        <item x="98"/>
        <item x="492"/>
        <item x="394"/>
        <item x="582"/>
        <item x="323"/>
        <item x="16"/>
        <item x="84"/>
        <item x="452"/>
        <item x="100"/>
        <item x="380"/>
        <item x="692"/>
        <item x="550"/>
        <item x="529"/>
        <item x="478"/>
        <item x="704"/>
        <item x="415"/>
        <item x="661"/>
        <item x="687"/>
        <item x="298"/>
        <item x="230"/>
        <item x="601"/>
        <item x="702"/>
        <item x="518"/>
        <item x="554"/>
        <item x="495"/>
        <item x="627"/>
        <item x="289"/>
        <item x="177"/>
        <item x="122"/>
        <item x="197"/>
        <item x="695"/>
        <item x="269"/>
        <item x="127"/>
        <item x="462"/>
        <item x="247"/>
        <item x="17"/>
        <item x="280"/>
        <item x="433"/>
        <item x="225"/>
        <item x="231"/>
        <item x="595"/>
        <item x="29"/>
        <item x="468"/>
        <item x="282"/>
        <item x="560"/>
        <item x="535"/>
        <item x="102"/>
        <item x="106"/>
        <item x="213"/>
        <item x="104"/>
        <item x="447"/>
        <item x="237"/>
        <item x="256"/>
        <item x="600"/>
        <item x="46"/>
        <item x="673"/>
        <item x="71"/>
        <item x="590"/>
        <item x="97"/>
        <item x="137"/>
        <item x="62"/>
        <item x="376"/>
        <item x="603"/>
        <item x="418"/>
        <item x="131"/>
        <item x="94"/>
        <item x="361"/>
        <item x="111"/>
        <item x="429"/>
        <item x="517"/>
        <item x="266"/>
        <item x="625"/>
        <item x="470"/>
        <item x="430"/>
        <item x="510"/>
        <item x="108"/>
        <item x="389"/>
        <item x="491"/>
        <item x="706"/>
        <item x="464"/>
        <item x="261"/>
        <item x="629"/>
        <item x="42"/>
        <item x="276"/>
        <item x="234"/>
        <item x="252"/>
        <item x="618"/>
        <item x="653"/>
        <item x="6"/>
        <item x="134"/>
        <item x="279"/>
        <item x="320"/>
        <item x="86"/>
        <item x="251"/>
        <item x="327"/>
        <item x="421"/>
        <item x="509"/>
        <item x="579"/>
        <item x="226"/>
        <item x="202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6">
    <i>
      <x v="17"/>
    </i>
    <i>
      <x v="10"/>
    </i>
    <i>
      <x v="2"/>
    </i>
    <i>
      <x v="19"/>
    </i>
    <i>
      <x v="4"/>
    </i>
    <i t="grand">
      <x/>
    </i>
  </rowItems>
  <colItems count="1">
    <i/>
  </colItems>
  <dataFields count="1">
    <dataField name="Sum of Distance_KM" fld="3" baseField="0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9CF37-D383-4379-8EA0-30F6F0757E2D}" name="Table1" displayName="Table1" ref="A3:B8" totalsRowShown="0">
  <autoFilter ref="A3:B8" xr:uid="{1609CF37-D383-4379-8EA0-30F6F0757E2D}"/>
  <tableColumns count="2">
    <tableColumn id="1" xr3:uid="{56247891-1C2E-4299-8C8D-C289EAC0DAC2}" name="                      KPI"/>
    <tableColumn id="2" xr3:uid="{1A4FC4BC-B614-4862-8CD1-01CDDF3013C0}" name="                     A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5"/>
  <sheetViews>
    <sheetView topLeftCell="A783" workbookViewId="0">
      <selection activeCell="A805" sqref="A805"/>
    </sheetView>
  </sheetViews>
  <sheetFormatPr defaultRowHeight="14.5" x14ac:dyDescent="0.35"/>
  <cols>
    <col min="1" max="1" width="10.08984375" bestFit="1" customWidth="1"/>
    <col min="2" max="2" width="12.08984375" bestFit="1" customWidth="1"/>
    <col min="3" max="3" width="17.81640625" bestFit="1" customWidth="1"/>
    <col min="4" max="4" width="12" bestFit="1" customWidth="1"/>
    <col min="5" max="5" width="21.08984375" bestFit="1" customWidth="1"/>
    <col min="6" max="6" width="13.1796875" bestFit="1" customWidth="1"/>
    <col min="7" max="7" width="9.54296875" bestFit="1" customWidth="1"/>
    <col min="8" max="8" width="19.453125" bestFit="1" customWidth="1"/>
    <col min="9" max="9" width="25.36328125" bestFit="1" customWidth="1"/>
    <col min="10" max="10" width="35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s="2">
        <v>46026</v>
      </c>
      <c r="D2">
        <v>354.4</v>
      </c>
      <c r="E2">
        <v>102.4</v>
      </c>
      <c r="F2">
        <v>0.8</v>
      </c>
      <c r="G2">
        <v>2</v>
      </c>
      <c r="H2">
        <v>60.5</v>
      </c>
      <c r="I2">
        <v>98.4</v>
      </c>
    </row>
    <row r="3" spans="1:9" x14ac:dyDescent="0.35">
      <c r="A3" t="s">
        <v>11</v>
      </c>
      <c r="B3" t="s">
        <v>12</v>
      </c>
      <c r="C3" s="2">
        <v>46098</v>
      </c>
      <c r="D3">
        <v>236.1</v>
      </c>
      <c r="E3">
        <v>82</v>
      </c>
      <c r="F3">
        <v>1.1000000000000001</v>
      </c>
      <c r="G3">
        <v>1</v>
      </c>
      <c r="H3">
        <v>55.3</v>
      </c>
      <c r="I3">
        <v>95.7</v>
      </c>
    </row>
    <row r="4" spans="1:9" x14ac:dyDescent="0.35">
      <c r="A4" t="s">
        <v>13</v>
      </c>
      <c r="B4" t="s">
        <v>14</v>
      </c>
      <c r="C4" s="2">
        <v>46076</v>
      </c>
      <c r="D4">
        <v>161.6</v>
      </c>
      <c r="E4">
        <v>36.799999999999997</v>
      </c>
      <c r="F4">
        <v>3.7</v>
      </c>
      <c r="G4">
        <v>1</v>
      </c>
      <c r="H4">
        <v>64.099999999999994</v>
      </c>
      <c r="I4">
        <v>87.4</v>
      </c>
    </row>
    <row r="5" spans="1:9" x14ac:dyDescent="0.35">
      <c r="A5" t="s">
        <v>15</v>
      </c>
      <c r="B5" t="s">
        <v>16</v>
      </c>
      <c r="C5" s="2">
        <v>46066</v>
      </c>
      <c r="D5">
        <v>182.8</v>
      </c>
      <c r="E5">
        <v>54.1</v>
      </c>
      <c r="F5">
        <v>3.5</v>
      </c>
      <c r="G5">
        <v>2</v>
      </c>
      <c r="H5">
        <v>34.200000000000003</v>
      </c>
      <c r="I5">
        <v>86.5</v>
      </c>
    </row>
    <row r="6" spans="1:9" x14ac:dyDescent="0.35">
      <c r="A6" t="s">
        <v>17</v>
      </c>
      <c r="B6" t="s">
        <v>18</v>
      </c>
      <c r="C6" s="2">
        <v>46100</v>
      </c>
      <c r="D6">
        <v>177.9</v>
      </c>
      <c r="E6">
        <v>61</v>
      </c>
      <c r="F6">
        <v>2.2000000000000002</v>
      </c>
      <c r="G6">
        <v>2</v>
      </c>
      <c r="H6">
        <v>73.8</v>
      </c>
      <c r="I6">
        <v>90.7</v>
      </c>
    </row>
    <row r="7" spans="1:9" x14ac:dyDescent="0.35">
      <c r="A7" t="s">
        <v>13</v>
      </c>
      <c r="B7" t="s">
        <v>14</v>
      </c>
      <c r="C7" s="2">
        <v>46060</v>
      </c>
      <c r="D7">
        <v>386.9</v>
      </c>
      <c r="E7">
        <v>86.6</v>
      </c>
      <c r="F7">
        <v>3.9</v>
      </c>
      <c r="G7">
        <v>4</v>
      </c>
      <c r="H7">
        <v>61.7</v>
      </c>
      <c r="I7">
        <v>85.7</v>
      </c>
    </row>
    <row r="8" spans="1:9" x14ac:dyDescent="0.35">
      <c r="A8" t="s">
        <v>19</v>
      </c>
      <c r="B8" t="s">
        <v>20</v>
      </c>
      <c r="C8" s="2">
        <v>46060</v>
      </c>
      <c r="D8">
        <v>444.5</v>
      </c>
      <c r="E8">
        <v>87</v>
      </c>
      <c r="F8">
        <v>3.9</v>
      </c>
      <c r="G8">
        <v>7</v>
      </c>
      <c r="H8">
        <v>42.5</v>
      </c>
      <c r="I8">
        <v>94.5</v>
      </c>
    </row>
    <row r="9" spans="1:9" x14ac:dyDescent="0.35">
      <c r="A9" t="s">
        <v>17</v>
      </c>
      <c r="B9" t="s">
        <v>18</v>
      </c>
      <c r="C9" s="2">
        <v>46043</v>
      </c>
      <c r="D9">
        <v>217</v>
      </c>
      <c r="E9">
        <v>64.5</v>
      </c>
      <c r="F9">
        <v>1.3</v>
      </c>
      <c r="G9">
        <v>2</v>
      </c>
      <c r="H9">
        <v>57.4</v>
      </c>
      <c r="I9">
        <v>87.6</v>
      </c>
    </row>
    <row r="10" spans="1:9" x14ac:dyDescent="0.35">
      <c r="A10" t="s">
        <v>19</v>
      </c>
      <c r="B10" t="s">
        <v>20</v>
      </c>
      <c r="C10" s="2">
        <v>46043</v>
      </c>
      <c r="D10">
        <v>251</v>
      </c>
      <c r="E10">
        <v>71.099999999999994</v>
      </c>
      <c r="F10">
        <v>4.2</v>
      </c>
      <c r="G10">
        <v>4</v>
      </c>
      <c r="H10">
        <v>60.8</v>
      </c>
      <c r="I10">
        <v>97.6</v>
      </c>
    </row>
    <row r="11" spans="1:9" x14ac:dyDescent="0.35">
      <c r="A11" t="s">
        <v>21</v>
      </c>
      <c r="B11" t="s">
        <v>22</v>
      </c>
      <c r="C11" s="2">
        <v>46052</v>
      </c>
      <c r="D11">
        <v>384.1</v>
      </c>
      <c r="E11">
        <v>77.2</v>
      </c>
      <c r="F11">
        <v>1.9</v>
      </c>
      <c r="G11">
        <v>2</v>
      </c>
      <c r="H11">
        <v>39.5</v>
      </c>
      <c r="I11">
        <v>99.1</v>
      </c>
    </row>
    <row r="12" spans="1:9" x14ac:dyDescent="0.35">
      <c r="A12" t="s">
        <v>23</v>
      </c>
      <c r="B12" t="s">
        <v>24</v>
      </c>
      <c r="C12" s="2">
        <v>46050</v>
      </c>
      <c r="D12">
        <v>322.5</v>
      </c>
      <c r="E12">
        <v>83.4</v>
      </c>
      <c r="F12">
        <v>4.0999999999999996</v>
      </c>
      <c r="G12">
        <v>8</v>
      </c>
      <c r="H12">
        <v>36.4</v>
      </c>
      <c r="I12">
        <v>87.1</v>
      </c>
    </row>
    <row r="13" spans="1:9" x14ac:dyDescent="0.35">
      <c r="A13" t="s">
        <v>13</v>
      </c>
      <c r="B13" t="s">
        <v>14</v>
      </c>
      <c r="C13" s="2">
        <v>46091</v>
      </c>
      <c r="D13">
        <v>177.2</v>
      </c>
      <c r="E13">
        <v>40.5</v>
      </c>
      <c r="F13">
        <v>4.0999999999999996</v>
      </c>
      <c r="G13">
        <v>7</v>
      </c>
      <c r="H13">
        <v>46.3</v>
      </c>
      <c r="I13">
        <v>100</v>
      </c>
    </row>
    <row r="14" spans="1:9" x14ac:dyDescent="0.35">
      <c r="A14" t="s">
        <v>25</v>
      </c>
      <c r="B14" t="s">
        <v>26</v>
      </c>
      <c r="C14" s="2">
        <v>46088</v>
      </c>
      <c r="D14">
        <v>262.60000000000002</v>
      </c>
      <c r="E14">
        <v>54.2</v>
      </c>
      <c r="F14">
        <v>3.9</v>
      </c>
      <c r="G14">
        <v>3</v>
      </c>
      <c r="H14">
        <v>58.2</v>
      </c>
      <c r="I14">
        <v>96.9</v>
      </c>
    </row>
    <row r="15" spans="1:9" x14ac:dyDescent="0.35">
      <c r="A15" t="s">
        <v>15</v>
      </c>
      <c r="B15" t="s">
        <v>16</v>
      </c>
      <c r="C15" s="2">
        <v>46099</v>
      </c>
      <c r="D15">
        <v>103.5</v>
      </c>
      <c r="E15">
        <v>27</v>
      </c>
      <c r="F15">
        <v>4.5</v>
      </c>
      <c r="G15">
        <v>5</v>
      </c>
      <c r="H15">
        <v>73.7</v>
      </c>
      <c r="I15">
        <v>97.9</v>
      </c>
    </row>
    <row r="16" spans="1:9" x14ac:dyDescent="0.35">
      <c r="A16" t="s">
        <v>27</v>
      </c>
      <c r="B16" t="s">
        <v>28</v>
      </c>
      <c r="C16" s="2">
        <v>46110</v>
      </c>
      <c r="D16">
        <v>346.7</v>
      </c>
      <c r="E16">
        <v>74.7</v>
      </c>
      <c r="F16">
        <v>2.5</v>
      </c>
      <c r="G16">
        <v>5</v>
      </c>
      <c r="H16">
        <v>64.599999999999994</v>
      </c>
      <c r="I16">
        <v>90.1</v>
      </c>
    </row>
    <row r="17" spans="1:9" x14ac:dyDescent="0.35">
      <c r="A17" t="s">
        <v>29</v>
      </c>
      <c r="B17" t="s">
        <v>30</v>
      </c>
      <c r="C17" s="2">
        <v>46078</v>
      </c>
      <c r="D17">
        <v>138.5</v>
      </c>
      <c r="E17">
        <v>49.3</v>
      </c>
      <c r="F17">
        <v>3.3</v>
      </c>
      <c r="G17">
        <v>5</v>
      </c>
      <c r="H17">
        <v>73.7</v>
      </c>
      <c r="I17">
        <v>96.4</v>
      </c>
    </row>
    <row r="18" spans="1:9" x14ac:dyDescent="0.35">
      <c r="A18" t="s">
        <v>31</v>
      </c>
      <c r="B18" t="s">
        <v>32</v>
      </c>
      <c r="C18" s="2">
        <v>46036</v>
      </c>
      <c r="D18">
        <v>402.1</v>
      </c>
      <c r="E18">
        <v>111.5</v>
      </c>
      <c r="F18">
        <v>2.9</v>
      </c>
      <c r="G18">
        <v>4</v>
      </c>
      <c r="H18">
        <v>36.9</v>
      </c>
      <c r="I18">
        <v>96.4</v>
      </c>
    </row>
    <row r="19" spans="1:9" x14ac:dyDescent="0.35">
      <c r="A19" t="s">
        <v>13</v>
      </c>
      <c r="B19" t="s">
        <v>14</v>
      </c>
      <c r="C19" s="2">
        <v>46090</v>
      </c>
      <c r="D19">
        <v>419.8</v>
      </c>
      <c r="E19">
        <v>65</v>
      </c>
      <c r="F19">
        <v>2.2999999999999998</v>
      </c>
      <c r="G19">
        <v>2</v>
      </c>
      <c r="H19">
        <v>71.8</v>
      </c>
      <c r="I19">
        <v>98.2</v>
      </c>
    </row>
    <row r="20" spans="1:9" x14ac:dyDescent="0.35">
      <c r="A20" t="s">
        <v>29</v>
      </c>
      <c r="B20" t="s">
        <v>30</v>
      </c>
      <c r="C20" s="2">
        <v>46053</v>
      </c>
      <c r="D20">
        <v>101.4</v>
      </c>
      <c r="E20">
        <v>19.600000000000001</v>
      </c>
      <c r="F20">
        <v>4.3</v>
      </c>
      <c r="G20">
        <v>2</v>
      </c>
      <c r="H20">
        <v>62.9</v>
      </c>
      <c r="I20">
        <v>97.2</v>
      </c>
    </row>
    <row r="21" spans="1:9" x14ac:dyDescent="0.35">
      <c r="A21" t="s">
        <v>13</v>
      </c>
      <c r="B21" t="s">
        <v>14</v>
      </c>
      <c r="C21" s="2">
        <v>46039</v>
      </c>
      <c r="D21">
        <v>127.5</v>
      </c>
      <c r="E21">
        <v>31.2</v>
      </c>
      <c r="F21">
        <v>2.6</v>
      </c>
      <c r="G21">
        <v>5</v>
      </c>
      <c r="H21">
        <v>53.7</v>
      </c>
      <c r="I21">
        <v>94.1</v>
      </c>
    </row>
    <row r="22" spans="1:9" x14ac:dyDescent="0.35">
      <c r="A22" t="s">
        <v>33</v>
      </c>
      <c r="B22" t="s">
        <v>34</v>
      </c>
      <c r="C22" s="2">
        <v>46092</v>
      </c>
      <c r="D22">
        <v>359.4</v>
      </c>
      <c r="E22">
        <v>77.099999999999994</v>
      </c>
      <c r="F22">
        <v>3.3</v>
      </c>
      <c r="G22">
        <v>7</v>
      </c>
      <c r="H22">
        <v>74.8</v>
      </c>
      <c r="I22">
        <v>94.7</v>
      </c>
    </row>
    <row r="23" spans="1:9" x14ac:dyDescent="0.35">
      <c r="A23" t="s">
        <v>35</v>
      </c>
      <c r="B23" t="s">
        <v>36</v>
      </c>
      <c r="C23" s="2">
        <v>46089</v>
      </c>
      <c r="D23">
        <v>247</v>
      </c>
      <c r="E23">
        <v>71.2</v>
      </c>
      <c r="F23">
        <v>0.5</v>
      </c>
      <c r="G23">
        <v>1</v>
      </c>
      <c r="H23">
        <v>56.5</v>
      </c>
      <c r="I23">
        <v>88.5</v>
      </c>
    </row>
    <row r="24" spans="1:9" x14ac:dyDescent="0.35">
      <c r="A24" t="s">
        <v>19</v>
      </c>
      <c r="B24" t="s">
        <v>20</v>
      </c>
      <c r="C24" s="2">
        <v>46023</v>
      </c>
      <c r="D24">
        <v>106.3</v>
      </c>
      <c r="E24">
        <v>23.6</v>
      </c>
      <c r="F24">
        <v>1.2</v>
      </c>
      <c r="G24">
        <v>1</v>
      </c>
      <c r="H24">
        <v>68.7</v>
      </c>
      <c r="I24">
        <v>86.1</v>
      </c>
    </row>
    <row r="25" spans="1:9" x14ac:dyDescent="0.35">
      <c r="A25" t="s">
        <v>19</v>
      </c>
      <c r="B25" t="s">
        <v>20</v>
      </c>
      <c r="C25" s="2">
        <v>46058</v>
      </c>
      <c r="D25">
        <v>327.5</v>
      </c>
      <c r="E25">
        <v>96.9</v>
      </c>
      <c r="F25">
        <v>0.8</v>
      </c>
      <c r="G25">
        <v>8</v>
      </c>
      <c r="H25">
        <v>40.9</v>
      </c>
      <c r="I25">
        <v>92.1</v>
      </c>
    </row>
    <row r="26" spans="1:9" x14ac:dyDescent="0.35">
      <c r="A26" t="s">
        <v>15</v>
      </c>
      <c r="B26" t="s">
        <v>16</v>
      </c>
      <c r="C26" s="2">
        <v>46047</v>
      </c>
      <c r="D26">
        <v>114.9</v>
      </c>
      <c r="E26">
        <v>25.1</v>
      </c>
      <c r="F26">
        <v>1.7</v>
      </c>
      <c r="G26">
        <v>7</v>
      </c>
      <c r="H26">
        <v>51</v>
      </c>
      <c r="I26">
        <v>95.9</v>
      </c>
    </row>
    <row r="27" spans="1:9" x14ac:dyDescent="0.35">
      <c r="A27" t="s">
        <v>9</v>
      </c>
      <c r="B27" t="s">
        <v>10</v>
      </c>
      <c r="C27" s="2">
        <v>46030</v>
      </c>
      <c r="D27">
        <v>229</v>
      </c>
      <c r="E27">
        <v>61.6</v>
      </c>
      <c r="F27">
        <v>3.9</v>
      </c>
      <c r="G27">
        <v>4</v>
      </c>
      <c r="H27">
        <v>38.6</v>
      </c>
      <c r="I27">
        <v>93</v>
      </c>
    </row>
    <row r="28" spans="1:9" x14ac:dyDescent="0.35">
      <c r="A28" t="s">
        <v>25</v>
      </c>
      <c r="B28" t="s">
        <v>26</v>
      </c>
      <c r="C28" s="2">
        <v>46077</v>
      </c>
      <c r="D28">
        <v>147.9</v>
      </c>
      <c r="E28">
        <v>36.5</v>
      </c>
      <c r="F28">
        <v>4</v>
      </c>
      <c r="G28">
        <v>2</v>
      </c>
      <c r="H28">
        <v>49.9</v>
      </c>
      <c r="I28">
        <v>97.9</v>
      </c>
    </row>
    <row r="29" spans="1:9" x14ac:dyDescent="0.35">
      <c r="A29" t="s">
        <v>13</v>
      </c>
      <c r="B29" t="s">
        <v>14</v>
      </c>
      <c r="C29" s="2">
        <v>46035</v>
      </c>
      <c r="D29">
        <v>98.7</v>
      </c>
      <c r="E29">
        <v>18</v>
      </c>
      <c r="F29">
        <v>3.8</v>
      </c>
      <c r="G29">
        <v>2</v>
      </c>
      <c r="H29">
        <v>71.7</v>
      </c>
      <c r="I29">
        <v>97.7</v>
      </c>
    </row>
    <row r="30" spans="1:9" x14ac:dyDescent="0.35">
      <c r="A30" t="s">
        <v>37</v>
      </c>
      <c r="B30" t="s">
        <v>38</v>
      </c>
      <c r="C30" s="2">
        <v>46075</v>
      </c>
      <c r="D30">
        <v>259.7</v>
      </c>
      <c r="E30">
        <v>76.900000000000006</v>
      </c>
      <c r="F30">
        <v>1.9</v>
      </c>
      <c r="G30">
        <v>1</v>
      </c>
      <c r="H30">
        <v>37.4</v>
      </c>
      <c r="I30">
        <v>85</v>
      </c>
    </row>
    <row r="31" spans="1:9" x14ac:dyDescent="0.35">
      <c r="A31" t="s">
        <v>39</v>
      </c>
      <c r="B31" t="s">
        <v>40</v>
      </c>
      <c r="C31" s="2">
        <v>46056</v>
      </c>
      <c r="D31">
        <v>422.8</v>
      </c>
      <c r="E31">
        <v>85.9</v>
      </c>
      <c r="F31">
        <v>1.4</v>
      </c>
      <c r="G31">
        <v>8</v>
      </c>
      <c r="H31">
        <v>37</v>
      </c>
      <c r="I31">
        <v>89.5</v>
      </c>
    </row>
    <row r="32" spans="1:9" x14ac:dyDescent="0.35">
      <c r="A32" t="s">
        <v>21</v>
      </c>
      <c r="B32" t="s">
        <v>22</v>
      </c>
      <c r="C32" s="2">
        <v>46097</v>
      </c>
      <c r="D32">
        <v>352.2</v>
      </c>
      <c r="E32">
        <v>118.8</v>
      </c>
      <c r="F32">
        <v>1.5</v>
      </c>
      <c r="G32">
        <v>1</v>
      </c>
      <c r="H32">
        <v>56.3</v>
      </c>
      <c r="I32">
        <v>92.5</v>
      </c>
    </row>
    <row r="33" spans="1:9" x14ac:dyDescent="0.35">
      <c r="A33" t="s">
        <v>31</v>
      </c>
      <c r="B33" t="s">
        <v>32</v>
      </c>
      <c r="C33" s="2">
        <v>46043</v>
      </c>
      <c r="D33">
        <v>101</v>
      </c>
      <c r="E33">
        <v>24.2</v>
      </c>
      <c r="F33">
        <v>3.9</v>
      </c>
      <c r="G33">
        <v>2</v>
      </c>
      <c r="H33">
        <v>56.8</v>
      </c>
      <c r="I33">
        <v>95.1</v>
      </c>
    </row>
    <row r="34" spans="1:9" x14ac:dyDescent="0.35">
      <c r="A34" t="s">
        <v>19</v>
      </c>
      <c r="B34" t="s">
        <v>20</v>
      </c>
      <c r="C34" s="2">
        <v>46074</v>
      </c>
      <c r="D34">
        <v>124.4</v>
      </c>
      <c r="E34">
        <v>23.9</v>
      </c>
      <c r="F34">
        <v>1.3</v>
      </c>
      <c r="G34">
        <v>1</v>
      </c>
      <c r="H34">
        <v>57.9</v>
      </c>
      <c r="I34">
        <v>91.3</v>
      </c>
    </row>
    <row r="35" spans="1:9" x14ac:dyDescent="0.35">
      <c r="A35" t="s">
        <v>41</v>
      </c>
      <c r="B35" t="s">
        <v>42</v>
      </c>
      <c r="C35" s="2">
        <v>46095</v>
      </c>
      <c r="D35">
        <v>273.39999999999998</v>
      </c>
      <c r="E35">
        <v>51.4</v>
      </c>
      <c r="F35">
        <v>1.1000000000000001</v>
      </c>
      <c r="G35">
        <v>6</v>
      </c>
      <c r="H35">
        <v>40.700000000000003</v>
      </c>
      <c r="I35">
        <v>90.9</v>
      </c>
    </row>
    <row r="36" spans="1:9" x14ac:dyDescent="0.35">
      <c r="A36" t="s">
        <v>29</v>
      </c>
      <c r="B36" t="s">
        <v>30</v>
      </c>
      <c r="C36" s="2">
        <v>46081</v>
      </c>
      <c r="D36">
        <v>197</v>
      </c>
      <c r="E36">
        <v>40.799999999999997</v>
      </c>
      <c r="F36">
        <v>0.5</v>
      </c>
      <c r="G36">
        <v>8</v>
      </c>
      <c r="H36">
        <v>58</v>
      </c>
      <c r="I36">
        <v>93.4</v>
      </c>
    </row>
    <row r="37" spans="1:9" x14ac:dyDescent="0.35">
      <c r="A37" t="s">
        <v>9</v>
      </c>
      <c r="B37" t="s">
        <v>10</v>
      </c>
      <c r="C37" s="2">
        <v>46032</v>
      </c>
      <c r="D37">
        <v>278.89999999999998</v>
      </c>
      <c r="E37">
        <v>66.900000000000006</v>
      </c>
      <c r="F37">
        <v>0.8</v>
      </c>
      <c r="G37">
        <v>6</v>
      </c>
      <c r="H37">
        <v>69.599999999999994</v>
      </c>
      <c r="I37">
        <v>98.2</v>
      </c>
    </row>
    <row r="38" spans="1:9" x14ac:dyDescent="0.35">
      <c r="A38" t="s">
        <v>17</v>
      </c>
      <c r="B38" t="s">
        <v>18</v>
      </c>
      <c r="C38" s="2">
        <v>46059</v>
      </c>
      <c r="D38">
        <v>138.4</v>
      </c>
      <c r="E38">
        <v>27.4</v>
      </c>
      <c r="F38">
        <v>3.2</v>
      </c>
      <c r="G38">
        <v>1</v>
      </c>
      <c r="H38">
        <v>60.1</v>
      </c>
      <c r="I38">
        <v>93.3</v>
      </c>
    </row>
    <row r="39" spans="1:9" x14ac:dyDescent="0.35">
      <c r="A39" t="s">
        <v>9</v>
      </c>
      <c r="B39" t="s">
        <v>10</v>
      </c>
      <c r="C39" s="2">
        <v>46040</v>
      </c>
      <c r="D39">
        <v>177.9</v>
      </c>
      <c r="E39">
        <v>34.200000000000003</v>
      </c>
      <c r="F39">
        <v>3.4</v>
      </c>
      <c r="G39">
        <v>3</v>
      </c>
      <c r="H39">
        <v>42.3</v>
      </c>
      <c r="I39">
        <v>94.1</v>
      </c>
    </row>
    <row r="40" spans="1:9" x14ac:dyDescent="0.35">
      <c r="A40" t="s">
        <v>23</v>
      </c>
      <c r="B40" t="s">
        <v>24</v>
      </c>
      <c r="C40" s="2">
        <v>46049</v>
      </c>
      <c r="D40">
        <v>334.4</v>
      </c>
      <c r="E40">
        <v>65.5</v>
      </c>
      <c r="F40">
        <v>2.4</v>
      </c>
      <c r="G40">
        <v>5</v>
      </c>
      <c r="H40">
        <v>70.7</v>
      </c>
      <c r="I40">
        <v>97.7</v>
      </c>
    </row>
    <row r="41" spans="1:9" x14ac:dyDescent="0.35">
      <c r="A41" t="s">
        <v>11</v>
      </c>
      <c r="B41" t="s">
        <v>12</v>
      </c>
      <c r="C41" s="2">
        <v>46104</v>
      </c>
      <c r="D41">
        <v>236.7</v>
      </c>
      <c r="E41">
        <v>66.7</v>
      </c>
      <c r="F41">
        <v>0.2</v>
      </c>
      <c r="G41">
        <v>3</v>
      </c>
      <c r="H41">
        <v>58.7</v>
      </c>
      <c r="I41">
        <v>88.9</v>
      </c>
    </row>
    <row r="42" spans="1:9" x14ac:dyDescent="0.35">
      <c r="A42" t="s">
        <v>35</v>
      </c>
      <c r="B42" t="s">
        <v>36</v>
      </c>
      <c r="C42" s="2">
        <v>46093</v>
      </c>
      <c r="D42">
        <v>341.1</v>
      </c>
      <c r="E42">
        <v>79.099999999999994</v>
      </c>
      <c r="F42">
        <v>0.7</v>
      </c>
      <c r="G42">
        <v>3</v>
      </c>
      <c r="H42">
        <v>54.6</v>
      </c>
      <c r="I42">
        <v>97.5</v>
      </c>
    </row>
    <row r="43" spans="1:9" x14ac:dyDescent="0.35">
      <c r="A43" t="s">
        <v>41</v>
      </c>
      <c r="B43" t="s">
        <v>42</v>
      </c>
      <c r="C43" s="2">
        <v>46093</v>
      </c>
      <c r="D43">
        <v>134.80000000000001</v>
      </c>
      <c r="E43">
        <v>42.9</v>
      </c>
      <c r="F43">
        <v>1.5</v>
      </c>
      <c r="G43">
        <v>1</v>
      </c>
      <c r="H43">
        <v>70.5</v>
      </c>
      <c r="I43">
        <v>88.2</v>
      </c>
    </row>
    <row r="44" spans="1:9" x14ac:dyDescent="0.35">
      <c r="A44" t="s">
        <v>19</v>
      </c>
      <c r="B44" t="s">
        <v>20</v>
      </c>
      <c r="C44" s="2">
        <v>46108</v>
      </c>
      <c r="D44">
        <v>118</v>
      </c>
      <c r="E44">
        <v>24.1</v>
      </c>
      <c r="F44">
        <v>4</v>
      </c>
      <c r="G44">
        <v>7</v>
      </c>
      <c r="H44">
        <v>73.8</v>
      </c>
      <c r="I44">
        <v>96.2</v>
      </c>
    </row>
    <row r="45" spans="1:9" x14ac:dyDescent="0.35">
      <c r="A45" t="s">
        <v>19</v>
      </c>
      <c r="B45" t="s">
        <v>20</v>
      </c>
      <c r="C45" s="2">
        <v>46043</v>
      </c>
      <c r="D45">
        <v>441.2</v>
      </c>
      <c r="E45">
        <v>88.4</v>
      </c>
      <c r="F45">
        <v>4</v>
      </c>
      <c r="G45">
        <v>1</v>
      </c>
      <c r="H45">
        <v>38.1</v>
      </c>
      <c r="I45">
        <v>98.9</v>
      </c>
    </row>
    <row r="46" spans="1:9" x14ac:dyDescent="0.35">
      <c r="A46" t="s">
        <v>15</v>
      </c>
      <c r="B46" t="s">
        <v>16</v>
      </c>
      <c r="C46" s="2">
        <v>46108</v>
      </c>
      <c r="D46">
        <v>399.7</v>
      </c>
      <c r="E46">
        <v>80.099999999999994</v>
      </c>
      <c r="F46">
        <v>1.3</v>
      </c>
      <c r="G46">
        <v>2</v>
      </c>
      <c r="H46">
        <v>47.2</v>
      </c>
      <c r="I46">
        <v>85.6</v>
      </c>
    </row>
    <row r="47" spans="1:9" x14ac:dyDescent="0.35">
      <c r="A47" t="s">
        <v>43</v>
      </c>
      <c r="B47" t="s">
        <v>44</v>
      </c>
      <c r="C47" s="2">
        <v>46051</v>
      </c>
      <c r="D47">
        <v>153.80000000000001</v>
      </c>
      <c r="E47">
        <v>29.1</v>
      </c>
      <c r="F47">
        <v>1.7</v>
      </c>
      <c r="G47">
        <v>4</v>
      </c>
      <c r="H47">
        <v>40</v>
      </c>
      <c r="I47">
        <v>94.9</v>
      </c>
    </row>
    <row r="48" spans="1:9" x14ac:dyDescent="0.35">
      <c r="A48" t="s">
        <v>39</v>
      </c>
      <c r="B48" t="s">
        <v>40</v>
      </c>
      <c r="C48" s="2">
        <v>46065</v>
      </c>
      <c r="D48">
        <v>183.1</v>
      </c>
      <c r="E48">
        <v>61.3</v>
      </c>
      <c r="F48">
        <v>3.5</v>
      </c>
      <c r="G48">
        <v>6</v>
      </c>
      <c r="H48">
        <v>58.9</v>
      </c>
      <c r="I48">
        <v>91</v>
      </c>
    </row>
    <row r="49" spans="1:9" x14ac:dyDescent="0.35">
      <c r="A49" t="s">
        <v>13</v>
      </c>
      <c r="B49" t="s">
        <v>14</v>
      </c>
      <c r="C49" s="2">
        <v>46065</v>
      </c>
      <c r="D49">
        <v>427.5</v>
      </c>
      <c r="E49">
        <v>137.4</v>
      </c>
      <c r="F49">
        <v>4.4000000000000004</v>
      </c>
      <c r="G49">
        <v>3</v>
      </c>
      <c r="H49">
        <v>56.1</v>
      </c>
      <c r="I49">
        <v>99.8</v>
      </c>
    </row>
    <row r="50" spans="1:9" x14ac:dyDescent="0.35">
      <c r="A50" t="s">
        <v>21</v>
      </c>
      <c r="B50" t="s">
        <v>22</v>
      </c>
      <c r="C50" s="2">
        <v>46036</v>
      </c>
      <c r="D50">
        <v>300.7</v>
      </c>
      <c r="E50">
        <v>80.5</v>
      </c>
      <c r="F50">
        <v>3.6</v>
      </c>
      <c r="G50">
        <v>7</v>
      </c>
      <c r="H50">
        <v>57.3</v>
      </c>
      <c r="I50">
        <v>92.7</v>
      </c>
    </row>
    <row r="51" spans="1:9" x14ac:dyDescent="0.35">
      <c r="A51" t="s">
        <v>39</v>
      </c>
      <c r="B51" t="s">
        <v>40</v>
      </c>
      <c r="C51" s="2">
        <v>46096</v>
      </c>
      <c r="D51">
        <v>150.30000000000001</v>
      </c>
      <c r="E51">
        <v>51.5</v>
      </c>
      <c r="F51">
        <v>2.1</v>
      </c>
      <c r="G51">
        <v>4</v>
      </c>
      <c r="H51">
        <v>46.4</v>
      </c>
      <c r="I51">
        <v>86</v>
      </c>
    </row>
    <row r="52" spans="1:9" x14ac:dyDescent="0.35">
      <c r="A52" t="s">
        <v>23</v>
      </c>
      <c r="B52" t="s">
        <v>24</v>
      </c>
      <c r="C52" s="2">
        <v>46102</v>
      </c>
      <c r="D52">
        <v>196.1</v>
      </c>
      <c r="E52">
        <v>38.5</v>
      </c>
      <c r="F52">
        <v>3.3</v>
      </c>
      <c r="G52">
        <v>5</v>
      </c>
      <c r="H52">
        <v>52.8</v>
      </c>
      <c r="I52">
        <v>95</v>
      </c>
    </row>
    <row r="53" spans="1:9" x14ac:dyDescent="0.35">
      <c r="A53" t="s">
        <v>23</v>
      </c>
      <c r="B53" t="s">
        <v>24</v>
      </c>
      <c r="C53" s="2">
        <v>46074</v>
      </c>
      <c r="D53">
        <v>338</v>
      </c>
      <c r="E53">
        <v>78.7</v>
      </c>
      <c r="F53">
        <v>1</v>
      </c>
      <c r="G53">
        <v>7</v>
      </c>
      <c r="H53">
        <v>60.5</v>
      </c>
      <c r="I53">
        <v>98.5</v>
      </c>
    </row>
    <row r="54" spans="1:9" x14ac:dyDescent="0.35">
      <c r="A54" t="s">
        <v>45</v>
      </c>
      <c r="B54" t="s">
        <v>46</v>
      </c>
      <c r="C54" s="2">
        <v>46095</v>
      </c>
      <c r="D54">
        <v>191.4</v>
      </c>
      <c r="E54">
        <v>44.7</v>
      </c>
      <c r="F54">
        <v>0.2</v>
      </c>
      <c r="G54">
        <v>5</v>
      </c>
      <c r="H54">
        <v>39.5</v>
      </c>
      <c r="I54">
        <v>96.8</v>
      </c>
    </row>
    <row r="55" spans="1:9" x14ac:dyDescent="0.35">
      <c r="A55" t="s">
        <v>45</v>
      </c>
      <c r="B55" t="s">
        <v>46</v>
      </c>
      <c r="C55" s="2">
        <v>46106</v>
      </c>
      <c r="D55">
        <v>199.2</v>
      </c>
      <c r="E55">
        <v>49.9</v>
      </c>
      <c r="F55">
        <v>3.1</v>
      </c>
      <c r="G55">
        <v>8</v>
      </c>
      <c r="H55">
        <v>65.7</v>
      </c>
      <c r="I55">
        <v>99.4</v>
      </c>
    </row>
    <row r="56" spans="1:9" x14ac:dyDescent="0.35">
      <c r="A56" t="s">
        <v>37</v>
      </c>
      <c r="B56" t="s">
        <v>38</v>
      </c>
      <c r="C56" s="2">
        <v>46107</v>
      </c>
      <c r="D56">
        <v>111.4</v>
      </c>
      <c r="E56">
        <v>26.6</v>
      </c>
      <c r="F56">
        <v>2.9</v>
      </c>
      <c r="G56">
        <v>6</v>
      </c>
      <c r="H56">
        <v>34.200000000000003</v>
      </c>
      <c r="I56">
        <v>99.3</v>
      </c>
    </row>
    <row r="57" spans="1:9" x14ac:dyDescent="0.35">
      <c r="A57" t="s">
        <v>19</v>
      </c>
      <c r="B57" t="s">
        <v>20</v>
      </c>
      <c r="C57" s="2">
        <v>46109</v>
      </c>
      <c r="D57">
        <v>194.9</v>
      </c>
      <c r="E57">
        <v>39.200000000000003</v>
      </c>
      <c r="F57">
        <v>0.8</v>
      </c>
      <c r="G57">
        <v>1</v>
      </c>
      <c r="H57">
        <v>41</v>
      </c>
      <c r="I57">
        <v>92.1</v>
      </c>
    </row>
    <row r="58" spans="1:9" x14ac:dyDescent="0.35">
      <c r="A58" t="s">
        <v>11</v>
      </c>
      <c r="B58" t="s">
        <v>12</v>
      </c>
      <c r="C58" s="2">
        <v>46081</v>
      </c>
      <c r="D58">
        <v>233.3</v>
      </c>
      <c r="E58">
        <v>51.8</v>
      </c>
      <c r="F58">
        <v>1</v>
      </c>
      <c r="G58">
        <v>7</v>
      </c>
      <c r="H58">
        <v>52.2</v>
      </c>
      <c r="I58">
        <v>88.7</v>
      </c>
    </row>
    <row r="59" spans="1:9" x14ac:dyDescent="0.35">
      <c r="A59" t="s">
        <v>27</v>
      </c>
      <c r="B59" t="s">
        <v>28</v>
      </c>
      <c r="C59" s="2">
        <v>46036</v>
      </c>
      <c r="D59">
        <v>368</v>
      </c>
      <c r="E59">
        <v>108.5</v>
      </c>
      <c r="F59">
        <v>3.7</v>
      </c>
      <c r="G59">
        <v>8</v>
      </c>
      <c r="H59">
        <v>32.299999999999997</v>
      </c>
      <c r="I59">
        <v>88.7</v>
      </c>
    </row>
    <row r="60" spans="1:9" x14ac:dyDescent="0.35">
      <c r="A60" t="s">
        <v>9</v>
      </c>
      <c r="B60" t="s">
        <v>10</v>
      </c>
      <c r="C60" s="2">
        <v>46081</v>
      </c>
      <c r="D60">
        <v>129.30000000000001</v>
      </c>
      <c r="E60">
        <v>31.9</v>
      </c>
      <c r="F60">
        <v>2.5</v>
      </c>
      <c r="G60">
        <v>6</v>
      </c>
      <c r="H60">
        <v>72.8</v>
      </c>
      <c r="I60">
        <v>98.4</v>
      </c>
    </row>
    <row r="61" spans="1:9" x14ac:dyDescent="0.35">
      <c r="A61" t="s">
        <v>45</v>
      </c>
      <c r="B61" t="s">
        <v>46</v>
      </c>
      <c r="C61" s="2">
        <v>46087</v>
      </c>
      <c r="D61">
        <v>237.9</v>
      </c>
      <c r="E61">
        <v>45.3</v>
      </c>
      <c r="F61">
        <v>2.1</v>
      </c>
      <c r="G61">
        <v>3</v>
      </c>
      <c r="H61">
        <v>63.5</v>
      </c>
      <c r="I61">
        <v>92.1</v>
      </c>
    </row>
    <row r="62" spans="1:9" x14ac:dyDescent="0.35">
      <c r="A62" t="s">
        <v>47</v>
      </c>
      <c r="B62" t="s">
        <v>48</v>
      </c>
      <c r="C62" s="2">
        <v>46054</v>
      </c>
      <c r="D62">
        <v>390.7</v>
      </c>
      <c r="E62">
        <v>110.1</v>
      </c>
      <c r="F62">
        <v>3.5</v>
      </c>
      <c r="G62">
        <v>8</v>
      </c>
      <c r="H62">
        <v>58.2</v>
      </c>
      <c r="I62">
        <v>89.1</v>
      </c>
    </row>
    <row r="63" spans="1:9" x14ac:dyDescent="0.35">
      <c r="A63" t="s">
        <v>11</v>
      </c>
      <c r="B63" t="s">
        <v>12</v>
      </c>
      <c r="C63" s="2">
        <v>46059</v>
      </c>
      <c r="D63">
        <v>166.8</v>
      </c>
      <c r="E63">
        <v>45</v>
      </c>
      <c r="F63">
        <v>4</v>
      </c>
      <c r="G63">
        <v>2</v>
      </c>
      <c r="H63">
        <v>36.200000000000003</v>
      </c>
      <c r="I63">
        <v>88.5</v>
      </c>
    </row>
    <row r="64" spans="1:9" x14ac:dyDescent="0.35">
      <c r="A64" t="s">
        <v>25</v>
      </c>
      <c r="B64" t="s">
        <v>26</v>
      </c>
      <c r="C64" s="2">
        <v>46050</v>
      </c>
      <c r="D64">
        <v>103.8</v>
      </c>
      <c r="E64">
        <v>26.6</v>
      </c>
      <c r="F64">
        <v>2.5</v>
      </c>
      <c r="G64">
        <v>7</v>
      </c>
      <c r="H64">
        <v>32.799999999999997</v>
      </c>
      <c r="I64">
        <v>97.5</v>
      </c>
    </row>
    <row r="65" spans="1:9" x14ac:dyDescent="0.35">
      <c r="A65" t="s">
        <v>39</v>
      </c>
      <c r="B65" t="s">
        <v>40</v>
      </c>
      <c r="C65" s="2">
        <v>46097</v>
      </c>
      <c r="D65">
        <v>430</v>
      </c>
      <c r="E65">
        <v>150.69999999999999</v>
      </c>
      <c r="F65">
        <v>4</v>
      </c>
      <c r="G65">
        <v>7</v>
      </c>
      <c r="H65">
        <v>51.5</v>
      </c>
      <c r="I65">
        <v>99.1</v>
      </c>
    </row>
    <row r="66" spans="1:9" x14ac:dyDescent="0.35">
      <c r="A66" t="s">
        <v>29</v>
      </c>
      <c r="B66" t="s">
        <v>30</v>
      </c>
      <c r="C66" s="2">
        <v>46072</v>
      </c>
      <c r="D66">
        <v>395.8</v>
      </c>
      <c r="E66">
        <v>73.599999999999994</v>
      </c>
      <c r="F66">
        <v>2</v>
      </c>
      <c r="G66">
        <v>4</v>
      </c>
      <c r="H66">
        <v>52</v>
      </c>
      <c r="I66">
        <v>89.1</v>
      </c>
    </row>
    <row r="67" spans="1:9" x14ac:dyDescent="0.35">
      <c r="A67" t="s">
        <v>43</v>
      </c>
      <c r="B67" t="s">
        <v>44</v>
      </c>
      <c r="C67" s="2">
        <v>46026</v>
      </c>
      <c r="D67">
        <v>223.9</v>
      </c>
      <c r="E67">
        <v>48.6</v>
      </c>
      <c r="F67">
        <v>3.6</v>
      </c>
      <c r="G67">
        <v>3</v>
      </c>
      <c r="H67">
        <v>67.8</v>
      </c>
      <c r="I67">
        <v>98.8</v>
      </c>
    </row>
    <row r="68" spans="1:9" x14ac:dyDescent="0.35">
      <c r="A68" t="s">
        <v>45</v>
      </c>
      <c r="B68" t="s">
        <v>46</v>
      </c>
      <c r="C68" s="2">
        <v>46091</v>
      </c>
      <c r="D68">
        <v>90</v>
      </c>
      <c r="E68">
        <v>23.3</v>
      </c>
      <c r="F68">
        <v>2.6</v>
      </c>
      <c r="G68">
        <v>1</v>
      </c>
      <c r="H68">
        <v>33.799999999999997</v>
      </c>
      <c r="I68">
        <v>91.4</v>
      </c>
    </row>
    <row r="69" spans="1:9" x14ac:dyDescent="0.35">
      <c r="A69" t="s">
        <v>35</v>
      </c>
      <c r="B69" t="s">
        <v>36</v>
      </c>
      <c r="C69" s="2">
        <v>46046</v>
      </c>
      <c r="D69">
        <v>98.6</v>
      </c>
      <c r="E69">
        <v>25.8</v>
      </c>
      <c r="F69">
        <v>1.1000000000000001</v>
      </c>
      <c r="G69">
        <v>6</v>
      </c>
      <c r="H69">
        <v>45.2</v>
      </c>
      <c r="I69">
        <v>98.2</v>
      </c>
    </row>
    <row r="70" spans="1:9" x14ac:dyDescent="0.35">
      <c r="A70" t="s">
        <v>47</v>
      </c>
      <c r="B70" t="s">
        <v>48</v>
      </c>
      <c r="C70" s="2">
        <v>46076</v>
      </c>
      <c r="D70">
        <v>173.3</v>
      </c>
      <c r="E70">
        <v>57.4</v>
      </c>
      <c r="F70">
        <v>0.3</v>
      </c>
      <c r="G70">
        <v>1</v>
      </c>
      <c r="H70">
        <v>75</v>
      </c>
      <c r="I70">
        <v>90.2</v>
      </c>
    </row>
    <row r="71" spans="1:9" x14ac:dyDescent="0.35">
      <c r="A71" t="s">
        <v>11</v>
      </c>
      <c r="B71" t="s">
        <v>12</v>
      </c>
      <c r="C71" s="2">
        <v>46106</v>
      </c>
      <c r="D71">
        <v>94.9</v>
      </c>
      <c r="E71">
        <v>32.9</v>
      </c>
      <c r="F71">
        <v>1.3</v>
      </c>
      <c r="G71">
        <v>1</v>
      </c>
      <c r="H71">
        <v>58</v>
      </c>
      <c r="I71">
        <v>88.6</v>
      </c>
    </row>
    <row r="72" spans="1:9" x14ac:dyDescent="0.35">
      <c r="A72" t="s">
        <v>43</v>
      </c>
      <c r="B72" t="s">
        <v>44</v>
      </c>
      <c r="C72" s="2">
        <v>46108</v>
      </c>
      <c r="D72">
        <v>122.3</v>
      </c>
      <c r="E72">
        <v>22.8</v>
      </c>
      <c r="F72">
        <v>2.2000000000000002</v>
      </c>
      <c r="G72">
        <v>5</v>
      </c>
      <c r="H72">
        <v>64.5</v>
      </c>
      <c r="I72">
        <v>87.5</v>
      </c>
    </row>
    <row r="73" spans="1:9" x14ac:dyDescent="0.35">
      <c r="A73" t="s">
        <v>45</v>
      </c>
      <c r="B73" t="s">
        <v>46</v>
      </c>
      <c r="C73" s="2">
        <v>46037</v>
      </c>
      <c r="D73">
        <v>367.8</v>
      </c>
      <c r="E73">
        <v>113.4</v>
      </c>
      <c r="F73">
        <v>1.5</v>
      </c>
      <c r="G73">
        <v>1</v>
      </c>
      <c r="H73">
        <v>71.8</v>
      </c>
      <c r="I73">
        <v>93.6</v>
      </c>
    </row>
    <row r="74" spans="1:9" x14ac:dyDescent="0.35">
      <c r="A74" t="s">
        <v>39</v>
      </c>
      <c r="B74" t="s">
        <v>40</v>
      </c>
      <c r="C74" s="2">
        <v>46073</v>
      </c>
      <c r="D74">
        <v>428.3</v>
      </c>
      <c r="E74">
        <v>128.4</v>
      </c>
      <c r="F74">
        <v>2.7</v>
      </c>
      <c r="G74">
        <v>4</v>
      </c>
      <c r="H74">
        <v>34.6</v>
      </c>
      <c r="I74">
        <v>96.6</v>
      </c>
    </row>
    <row r="75" spans="1:9" x14ac:dyDescent="0.35">
      <c r="A75" t="s">
        <v>45</v>
      </c>
      <c r="B75" t="s">
        <v>46</v>
      </c>
      <c r="C75" s="2">
        <v>46038</v>
      </c>
      <c r="D75">
        <v>374.6</v>
      </c>
      <c r="E75">
        <v>86.6</v>
      </c>
      <c r="F75">
        <v>0.4</v>
      </c>
      <c r="G75">
        <v>7</v>
      </c>
      <c r="H75">
        <v>59.8</v>
      </c>
      <c r="I75">
        <v>86</v>
      </c>
    </row>
    <row r="76" spans="1:9" x14ac:dyDescent="0.35">
      <c r="A76" t="s">
        <v>23</v>
      </c>
      <c r="B76" t="s">
        <v>24</v>
      </c>
      <c r="C76" s="2">
        <v>46024</v>
      </c>
      <c r="D76">
        <v>394.3</v>
      </c>
      <c r="E76">
        <v>78.5</v>
      </c>
      <c r="F76">
        <v>0.7</v>
      </c>
      <c r="G76">
        <v>6</v>
      </c>
      <c r="H76">
        <v>58.6</v>
      </c>
      <c r="I76">
        <v>97.4</v>
      </c>
    </row>
    <row r="77" spans="1:9" x14ac:dyDescent="0.35">
      <c r="A77" t="s">
        <v>25</v>
      </c>
      <c r="B77" t="s">
        <v>26</v>
      </c>
      <c r="C77" s="2">
        <v>46078</v>
      </c>
      <c r="D77">
        <v>145.19999999999999</v>
      </c>
      <c r="E77">
        <v>34.5</v>
      </c>
      <c r="F77">
        <v>3</v>
      </c>
      <c r="G77">
        <v>8</v>
      </c>
      <c r="H77">
        <v>50.9</v>
      </c>
      <c r="I77">
        <v>97.4</v>
      </c>
    </row>
    <row r="78" spans="1:9" x14ac:dyDescent="0.35">
      <c r="A78" t="s">
        <v>41</v>
      </c>
      <c r="B78" t="s">
        <v>42</v>
      </c>
      <c r="C78" s="2">
        <v>46057</v>
      </c>
      <c r="D78">
        <v>199.3</v>
      </c>
      <c r="E78">
        <v>57.6</v>
      </c>
      <c r="F78">
        <v>4.2</v>
      </c>
      <c r="G78">
        <v>5</v>
      </c>
      <c r="H78">
        <v>69.7</v>
      </c>
      <c r="I78">
        <v>88.7</v>
      </c>
    </row>
    <row r="79" spans="1:9" x14ac:dyDescent="0.35">
      <c r="A79" t="s">
        <v>35</v>
      </c>
      <c r="B79" t="s">
        <v>36</v>
      </c>
      <c r="C79" s="2">
        <v>46095</v>
      </c>
      <c r="D79">
        <v>305.8</v>
      </c>
      <c r="E79">
        <v>80</v>
      </c>
      <c r="F79">
        <v>0.3</v>
      </c>
      <c r="G79">
        <v>6</v>
      </c>
      <c r="H79">
        <v>38.200000000000003</v>
      </c>
      <c r="I79">
        <v>88.2</v>
      </c>
    </row>
    <row r="80" spans="1:9" x14ac:dyDescent="0.35">
      <c r="A80" t="s">
        <v>47</v>
      </c>
      <c r="B80" t="s">
        <v>48</v>
      </c>
      <c r="C80" s="2">
        <v>46066</v>
      </c>
      <c r="D80">
        <v>183.5</v>
      </c>
      <c r="E80">
        <v>41.6</v>
      </c>
      <c r="F80">
        <v>4</v>
      </c>
      <c r="G80">
        <v>1</v>
      </c>
      <c r="H80">
        <v>53.2</v>
      </c>
      <c r="I80">
        <v>87.9</v>
      </c>
    </row>
    <row r="81" spans="1:9" x14ac:dyDescent="0.35">
      <c r="A81" t="s">
        <v>19</v>
      </c>
      <c r="B81" t="s">
        <v>20</v>
      </c>
      <c r="C81" s="2">
        <v>46075</v>
      </c>
      <c r="D81">
        <v>260.8</v>
      </c>
      <c r="E81">
        <v>53.8</v>
      </c>
      <c r="F81">
        <v>3.2</v>
      </c>
      <c r="G81">
        <v>8</v>
      </c>
      <c r="H81">
        <v>50.2</v>
      </c>
      <c r="I81">
        <v>85.3</v>
      </c>
    </row>
    <row r="82" spans="1:9" x14ac:dyDescent="0.35">
      <c r="A82" t="s">
        <v>29</v>
      </c>
      <c r="B82" t="s">
        <v>30</v>
      </c>
      <c r="C82" s="2">
        <v>46051</v>
      </c>
      <c r="D82">
        <v>229.6</v>
      </c>
      <c r="E82">
        <v>66.400000000000006</v>
      </c>
      <c r="F82">
        <v>3.1</v>
      </c>
      <c r="G82">
        <v>6</v>
      </c>
      <c r="H82">
        <v>51.3</v>
      </c>
      <c r="I82">
        <v>93</v>
      </c>
    </row>
    <row r="83" spans="1:9" x14ac:dyDescent="0.35">
      <c r="A83" t="s">
        <v>15</v>
      </c>
      <c r="B83" t="s">
        <v>16</v>
      </c>
      <c r="C83" s="2">
        <v>46093</v>
      </c>
      <c r="D83">
        <v>202.4</v>
      </c>
      <c r="E83">
        <v>43.1</v>
      </c>
      <c r="F83">
        <v>1.4</v>
      </c>
      <c r="G83">
        <v>5</v>
      </c>
      <c r="H83">
        <v>40.4</v>
      </c>
      <c r="I83">
        <v>95.8</v>
      </c>
    </row>
    <row r="84" spans="1:9" x14ac:dyDescent="0.35">
      <c r="A84" t="s">
        <v>23</v>
      </c>
      <c r="B84" t="s">
        <v>24</v>
      </c>
      <c r="C84" s="2">
        <v>46038</v>
      </c>
      <c r="D84">
        <v>354.9</v>
      </c>
      <c r="E84">
        <v>66.099999999999994</v>
      </c>
      <c r="F84">
        <v>3.2</v>
      </c>
      <c r="G84">
        <v>4</v>
      </c>
      <c r="H84">
        <v>39.700000000000003</v>
      </c>
      <c r="I84">
        <v>92.3</v>
      </c>
    </row>
    <row r="85" spans="1:9" x14ac:dyDescent="0.35">
      <c r="A85" t="s">
        <v>41</v>
      </c>
      <c r="B85" t="s">
        <v>42</v>
      </c>
      <c r="C85" s="2">
        <v>46090</v>
      </c>
      <c r="D85">
        <v>300.8</v>
      </c>
      <c r="E85">
        <v>55.2</v>
      </c>
      <c r="F85">
        <v>3.8</v>
      </c>
      <c r="G85">
        <v>5</v>
      </c>
      <c r="H85">
        <v>40.200000000000003</v>
      </c>
      <c r="I85">
        <v>87.7</v>
      </c>
    </row>
    <row r="86" spans="1:9" x14ac:dyDescent="0.35">
      <c r="A86" t="s">
        <v>27</v>
      </c>
      <c r="B86" t="s">
        <v>28</v>
      </c>
      <c r="C86" s="2">
        <v>46091</v>
      </c>
      <c r="D86">
        <v>126.8</v>
      </c>
      <c r="E86">
        <v>43.4</v>
      </c>
      <c r="F86">
        <v>0.4</v>
      </c>
      <c r="G86">
        <v>5</v>
      </c>
      <c r="H86">
        <v>61.4</v>
      </c>
      <c r="I86">
        <v>86.9</v>
      </c>
    </row>
    <row r="87" spans="1:9" x14ac:dyDescent="0.35">
      <c r="A87" t="s">
        <v>43</v>
      </c>
      <c r="B87" t="s">
        <v>44</v>
      </c>
      <c r="C87" s="2">
        <v>46036</v>
      </c>
      <c r="D87">
        <v>402.9</v>
      </c>
      <c r="E87">
        <v>92.6</v>
      </c>
      <c r="F87">
        <v>2.2000000000000002</v>
      </c>
      <c r="G87">
        <v>8</v>
      </c>
      <c r="H87">
        <v>45.3</v>
      </c>
      <c r="I87">
        <v>99.5</v>
      </c>
    </row>
    <row r="88" spans="1:9" x14ac:dyDescent="0.35">
      <c r="A88" t="s">
        <v>47</v>
      </c>
      <c r="B88" t="s">
        <v>48</v>
      </c>
      <c r="C88" s="2">
        <v>46084</v>
      </c>
      <c r="D88">
        <v>122.2</v>
      </c>
      <c r="E88">
        <v>41.1</v>
      </c>
      <c r="F88">
        <v>2.2999999999999998</v>
      </c>
      <c r="G88">
        <v>1</v>
      </c>
      <c r="H88">
        <v>36.799999999999997</v>
      </c>
      <c r="I88">
        <v>97.2</v>
      </c>
    </row>
    <row r="89" spans="1:9" x14ac:dyDescent="0.35">
      <c r="A89" t="s">
        <v>29</v>
      </c>
      <c r="B89" t="s">
        <v>30</v>
      </c>
      <c r="C89" s="2">
        <v>46033</v>
      </c>
      <c r="D89">
        <v>447.7</v>
      </c>
      <c r="E89">
        <v>143.5</v>
      </c>
      <c r="F89">
        <v>3.5</v>
      </c>
      <c r="G89">
        <v>4</v>
      </c>
      <c r="H89">
        <v>64.900000000000006</v>
      </c>
      <c r="I89">
        <v>90.7</v>
      </c>
    </row>
    <row r="90" spans="1:9" x14ac:dyDescent="0.35">
      <c r="A90" t="s">
        <v>35</v>
      </c>
      <c r="B90" t="s">
        <v>36</v>
      </c>
      <c r="C90" s="2">
        <v>46061</v>
      </c>
      <c r="D90">
        <v>398.3</v>
      </c>
      <c r="E90">
        <v>72.8</v>
      </c>
      <c r="F90">
        <v>1.5</v>
      </c>
      <c r="G90">
        <v>1</v>
      </c>
      <c r="H90">
        <v>57.4</v>
      </c>
      <c r="I90">
        <v>96.1</v>
      </c>
    </row>
    <row r="91" spans="1:9" x14ac:dyDescent="0.35">
      <c r="A91" t="s">
        <v>33</v>
      </c>
      <c r="B91" t="s">
        <v>34</v>
      </c>
      <c r="C91" s="2">
        <v>46103</v>
      </c>
      <c r="D91">
        <v>158.1</v>
      </c>
      <c r="E91">
        <v>34.5</v>
      </c>
      <c r="F91">
        <v>0.9</v>
      </c>
      <c r="G91">
        <v>3</v>
      </c>
      <c r="H91">
        <v>54.8</v>
      </c>
      <c r="I91">
        <v>87.3</v>
      </c>
    </row>
    <row r="92" spans="1:9" x14ac:dyDescent="0.35">
      <c r="A92" t="s">
        <v>15</v>
      </c>
      <c r="B92" t="s">
        <v>16</v>
      </c>
      <c r="C92" s="2">
        <v>46080</v>
      </c>
      <c r="D92">
        <v>335.1</v>
      </c>
      <c r="E92">
        <v>82.4</v>
      </c>
      <c r="F92">
        <v>0.3</v>
      </c>
      <c r="G92">
        <v>5</v>
      </c>
      <c r="H92">
        <v>61.8</v>
      </c>
      <c r="I92">
        <v>95.5</v>
      </c>
    </row>
    <row r="93" spans="1:9" x14ac:dyDescent="0.35">
      <c r="A93" t="s">
        <v>35</v>
      </c>
      <c r="B93" t="s">
        <v>36</v>
      </c>
      <c r="C93" s="2">
        <v>46032</v>
      </c>
      <c r="D93">
        <v>334.3</v>
      </c>
      <c r="E93">
        <v>63.1</v>
      </c>
      <c r="F93">
        <v>3.6</v>
      </c>
      <c r="G93">
        <v>4</v>
      </c>
      <c r="H93">
        <v>49.1</v>
      </c>
      <c r="I93">
        <v>93.2</v>
      </c>
    </row>
    <row r="94" spans="1:9" x14ac:dyDescent="0.35">
      <c r="A94" t="s">
        <v>25</v>
      </c>
      <c r="B94" t="s">
        <v>26</v>
      </c>
      <c r="C94" s="2">
        <v>46057</v>
      </c>
      <c r="D94">
        <v>385.9</v>
      </c>
      <c r="E94">
        <v>128.9</v>
      </c>
      <c r="F94">
        <v>0.9</v>
      </c>
      <c r="G94">
        <v>5</v>
      </c>
      <c r="H94">
        <v>56.8</v>
      </c>
      <c r="I94">
        <v>97.4</v>
      </c>
    </row>
    <row r="95" spans="1:9" x14ac:dyDescent="0.35">
      <c r="A95" t="s">
        <v>29</v>
      </c>
      <c r="B95" t="s">
        <v>30</v>
      </c>
      <c r="C95" s="2">
        <v>46079</v>
      </c>
      <c r="D95">
        <v>126</v>
      </c>
      <c r="E95">
        <v>27</v>
      </c>
      <c r="F95">
        <v>3.2</v>
      </c>
      <c r="G95">
        <v>5</v>
      </c>
      <c r="H95">
        <v>52.5</v>
      </c>
      <c r="I95">
        <v>92.4</v>
      </c>
    </row>
    <row r="96" spans="1:9" x14ac:dyDescent="0.35">
      <c r="A96" t="s">
        <v>11</v>
      </c>
      <c r="B96" t="s">
        <v>12</v>
      </c>
      <c r="C96" s="2">
        <v>46099</v>
      </c>
      <c r="D96">
        <v>94.7</v>
      </c>
      <c r="E96">
        <v>23.9</v>
      </c>
      <c r="F96">
        <v>1.6</v>
      </c>
      <c r="G96">
        <v>5</v>
      </c>
      <c r="H96">
        <v>31.2</v>
      </c>
      <c r="I96">
        <v>88.4</v>
      </c>
    </row>
    <row r="97" spans="1:9" x14ac:dyDescent="0.35">
      <c r="A97" t="s">
        <v>41</v>
      </c>
      <c r="B97" t="s">
        <v>42</v>
      </c>
      <c r="C97" s="2">
        <v>46098</v>
      </c>
      <c r="D97">
        <v>431.8</v>
      </c>
      <c r="E97">
        <v>78.5</v>
      </c>
      <c r="F97">
        <v>3.1</v>
      </c>
      <c r="G97">
        <v>5</v>
      </c>
      <c r="H97">
        <v>55.9</v>
      </c>
      <c r="I97">
        <v>96.4</v>
      </c>
    </row>
    <row r="98" spans="1:9" x14ac:dyDescent="0.35">
      <c r="A98" t="s">
        <v>37</v>
      </c>
      <c r="B98" t="s">
        <v>38</v>
      </c>
      <c r="C98" s="2">
        <v>46083</v>
      </c>
      <c r="D98">
        <v>272</v>
      </c>
      <c r="E98">
        <v>68.099999999999994</v>
      </c>
      <c r="F98">
        <v>1.4</v>
      </c>
      <c r="G98">
        <v>7</v>
      </c>
      <c r="H98">
        <v>58.6</v>
      </c>
      <c r="I98">
        <v>92.4</v>
      </c>
    </row>
    <row r="99" spans="1:9" x14ac:dyDescent="0.35">
      <c r="A99" t="s">
        <v>11</v>
      </c>
      <c r="B99" t="s">
        <v>12</v>
      </c>
      <c r="C99" s="2">
        <v>46083</v>
      </c>
      <c r="D99">
        <v>208.7</v>
      </c>
      <c r="E99">
        <v>56.4</v>
      </c>
      <c r="F99">
        <v>3.1</v>
      </c>
      <c r="G99">
        <v>3</v>
      </c>
      <c r="H99">
        <v>44.8</v>
      </c>
      <c r="I99">
        <v>95.4</v>
      </c>
    </row>
    <row r="100" spans="1:9" x14ac:dyDescent="0.35">
      <c r="A100" t="s">
        <v>29</v>
      </c>
      <c r="B100" t="s">
        <v>30</v>
      </c>
      <c r="C100" s="2">
        <v>46107</v>
      </c>
      <c r="D100">
        <v>429.7</v>
      </c>
      <c r="E100">
        <v>86</v>
      </c>
      <c r="F100">
        <v>2.6</v>
      </c>
      <c r="G100">
        <v>8</v>
      </c>
      <c r="H100">
        <v>34</v>
      </c>
      <c r="I100">
        <v>88.8</v>
      </c>
    </row>
    <row r="101" spans="1:9" x14ac:dyDescent="0.35">
      <c r="A101" t="s">
        <v>9</v>
      </c>
      <c r="B101" t="s">
        <v>10</v>
      </c>
      <c r="C101" s="2">
        <v>46074</v>
      </c>
      <c r="D101">
        <v>400</v>
      </c>
      <c r="E101">
        <v>79.599999999999994</v>
      </c>
      <c r="F101">
        <v>0.2</v>
      </c>
      <c r="G101">
        <v>8</v>
      </c>
      <c r="H101">
        <v>48.6</v>
      </c>
      <c r="I101">
        <v>87.8</v>
      </c>
    </row>
    <row r="102" spans="1:9" x14ac:dyDescent="0.35">
      <c r="A102" t="s">
        <v>17</v>
      </c>
      <c r="B102" t="s">
        <v>18</v>
      </c>
      <c r="C102" s="2">
        <v>46102</v>
      </c>
      <c r="D102">
        <v>359.9</v>
      </c>
      <c r="E102">
        <v>80.2</v>
      </c>
      <c r="F102">
        <v>3.5</v>
      </c>
      <c r="G102">
        <v>4</v>
      </c>
      <c r="H102">
        <v>42</v>
      </c>
      <c r="I102">
        <v>87</v>
      </c>
    </row>
    <row r="103" spans="1:9" x14ac:dyDescent="0.35">
      <c r="A103" t="s">
        <v>29</v>
      </c>
      <c r="B103" t="s">
        <v>30</v>
      </c>
      <c r="C103" s="2">
        <v>46079</v>
      </c>
      <c r="D103">
        <v>405.9</v>
      </c>
      <c r="E103">
        <v>98.8</v>
      </c>
      <c r="F103">
        <v>0.3</v>
      </c>
      <c r="G103">
        <v>4</v>
      </c>
      <c r="H103">
        <v>61.9</v>
      </c>
      <c r="I103">
        <v>89.7</v>
      </c>
    </row>
    <row r="104" spans="1:9" x14ac:dyDescent="0.35">
      <c r="A104" t="s">
        <v>27</v>
      </c>
      <c r="B104" t="s">
        <v>28</v>
      </c>
      <c r="C104" s="2">
        <v>46093</v>
      </c>
      <c r="D104">
        <v>231</v>
      </c>
      <c r="E104">
        <v>67.8</v>
      </c>
      <c r="F104">
        <v>3.8</v>
      </c>
      <c r="G104">
        <v>2</v>
      </c>
      <c r="H104">
        <v>50.8</v>
      </c>
      <c r="I104">
        <v>86.8</v>
      </c>
    </row>
    <row r="105" spans="1:9" x14ac:dyDescent="0.35">
      <c r="A105" t="s">
        <v>25</v>
      </c>
      <c r="B105" t="s">
        <v>26</v>
      </c>
      <c r="C105" s="2">
        <v>46086</v>
      </c>
      <c r="D105">
        <v>425.1</v>
      </c>
      <c r="E105">
        <v>118.5</v>
      </c>
      <c r="F105">
        <v>3.2</v>
      </c>
      <c r="G105">
        <v>7</v>
      </c>
      <c r="H105">
        <v>67.599999999999994</v>
      </c>
      <c r="I105">
        <v>99.7</v>
      </c>
    </row>
    <row r="106" spans="1:9" x14ac:dyDescent="0.35">
      <c r="A106" t="s">
        <v>19</v>
      </c>
      <c r="B106" t="s">
        <v>20</v>
      </c>
      <c r="C106" s="2">
        <v>46081</v>
      </c>
      <c r="D106">
        <v>284</v>
      </c>
      <c r="E106">
        <v>74</v>
      </c>
      <c r="F106">
        <v>4.2</v>
      </c>
      <c r="G106">
        <v>3</v>
      </c>
      <c r="H106">
        <v>68.900000000000006</v>
      </c>
      <c r="I106">
        <v>89.1</v>
      </c>
    </row>
    <row r="107" spans="1:9" x14ac:dyDescent="0.35">
      <c r="A107" t="s">
        <v>15</v>
      </c>
      <c r="B107" t="s">
        <v>16</v>
      </c>
      <c r="C107" s="2">
        <v>46066</v>
      </c>
      <c r="D107">
        <v>425.7</v>
      </c>
      <c r="E107">
        <v>102.1</v>
      </c>
      <c r="F107">
        <v>3.7</v>
      </c>
      <c r="G107">
        <v>5</v>
      </c>
      <c r="H107">
        <v>62.7</v>
      </c>
      <c r="I107">
        <v>97.6</v>
      </c>
    </row>
    <row r="108" spans="1:9" x14ac:dyDescent="0.35">
      <c r="A108" t="s">
        <v>41</v>
      </c>
      <c r="B108" t="s">
        <v>42</v>
      </c>
      <c r="C108" s="2">
        <v>46107</v>
      </c>
      <c r="D108">
        <v>261.2</v>
      </c>
      <c r="E108">
        <v>81.599999999999994</v>
      </c>
      <c r="F108">
        <v>2.5</v>
      </c>
      <c r="G108">
        <v>6</v>
      </c>
      <c r="H108">
        <v>45</v>
      </c>
      <c r="I108">
        <v>96.4</v>
      </c>
    </row>
    <row r="109" spans="1:9" x14ac:dyDescent="0.35">
      <c r="A109" t="s">
        <v>39</v>
      </c>
      <c r="B109" t="s">
        <v>40</v>
      </c>
      <c r="C109" s="2">
        <v>46081</v>
      </c>
      <c r="D109">
        <v>425.2</v>
      </c>
      <c r="E109">
        <v>82.6</v>
      </c>
      <c r="F109">
        <v>4.4000000000000004</v>
      </c>
      <c r="G109">
        <v>4</v>
      </c>
      <c r="H109">
        <v>55.7</v>
      </c>
      <c r="I109">
        <v>88.5</v>
      </c>
    </row>
    <row r="110" spans="1:9" x14ac:dyDescent="0.35">
      <c r="A110" t="s">
        <v>15</v>
      </c>
      <c r="B110" t="s">
        <v>16</v>
      </c>
      <c r="C110" s="2">
        <v>46028</v>
      </c>
      <c r="D110">
        <v>197.7</v>
      </c>
      <c r="E110">
        <v>48.5</v>
      </c>
      <c r="F110">
        <v>4.0999999999999996</v>
      </c>
      <c r="G110">
        <v>7</v>
      </c>
      <c r="H110">
        <v>47.4</v>
      </c>
      <c r="I110">
        <v>95</v>
      </c>
    </row>
    <row r="111" spans="1:9" x14ac:dyDescent="0.35">
      <c r="A111" t="s">
        <v>25</v>
      </c>
      <c r="B111" t="s">
        <v>26</v>
      </c>
      <c r="C111" s="2">
        <v>46086</v>
      </c>
      <c r="D111">
        <v>437</v>
      </c>
      <c r="E111">
        <v>139.1</v>
      </c>
      <c r="F111">
        <v>4.4000000000000004</v>
      </c>
      <c r="G111">
        <v>6</v>
      </c>
      <c r="H111">
        <v>69.099999999999994</v>
      </c>
      <c r="I111">
        <v>98.1</v>
      </c>
    </row>
    <row r="112" spans="1:9" x14ac:dyDescent="0.35">
      <c r="A112" t="s">
        <v>35</v>
      </c>
      <c r="B112" t="s">
        <v>36</v>
      </c>
      <c r="C112" s="2">
        <v>46035</v>
      </c>
      <c r="D112">
        <v>274.60000000000002</v>
      </c>
      <c r="E112">
        <v>68.099999999999994</v>
      </c>
      <c r="F112">
        <v>3.3</v>
      </c>
      <c r="G112">
        <v>7</v>
      </c>
      <c r="H112">
        <v>69.2</v>
      </c>
      <c r="I112">
        <v>99.5</v>
      </c>
    </row>
    <row r="113" spans="1:9" x14ac:dyDescent="0.35">
      <c r="A113" t="s">
        <v>11</v>
      </c>
      <c r="B113" t="s">
        <v>12</v>
      </c>
      <c r="C113" s="2">
        <v>46083</v>
      </c>
      <c r="D113">
        <v>369.2</v>
      </c>
      <c r="E113">
        <v>105</v>
      </c>
      <c r="F113">
        <v>2.9</v>
      </c>
      <c r="G113">
        <v>7</v>
      </c>
      <c r="H113">
        <v>59.2</v>
      </c>
      <c r="I113">
        <v>97.8</v>
      </c>
    </row>
    <row r="114" spans="1:9" x14ac:dyDescent="0.35">
      <c r="A114" t="s">
        <v>13</v>
      </c>
      <c r="B114" t="s">
        <v>14</v>
      </c>
      <c r="C114" s="2">
        <v>46071</v>
      </c>
      <c r="D114">
        <v>433</v>
      </c>
      <c r="E114">
        <v>96.4</v>
      </c>
      <c r="F114">
        <v>4</v>
      </c>
      <c r="G114">
        <v>8</v>
      </c>
      <c r="H114">
        <v>69.3</v>
      </c>
      <c r="I114">
        <v>85.5</v>
      </c>
    </row>
    <row r="115" spans="1:9" x14ac:dyDescent="0.35">
      <c r="A115" t="s">
        <v>11</v>
      </c>
      <c r="B115" t="s">
        <v>12</v>
      </c>
      <c r="C115" s="2">
        <v>46053</v>
      </c>
      <c r="D115">
        <v>313.5</v>
      </c>
      <c r="E115">
        <v>59.3</v>
      </c>
      <c r="F115">
        <v>4.5</v>
      </c>
      <c r="G115">
        <v>2</v>
      </c>
      <c r="H115">
        <v>49.5</v>
      </c>
      <c r="I115">
        <v>86.5</v>
      </c>
    </row>
    <row r="116" spans="1:9" x14ac:dyDescent="0.35">
      <c r="A116" t="s">
        <v>9</v>
      </c>
      <c r="B116" t="s">
        <v>10</v>
      </c>
      <c r="C116" s="2">
        <v>46079</v>
      </c>
      <c r="D116">
        <v>141.6</v>
      </c>
      <c r="E116">
        <v>39.200000000000003</v>
      </c>
      <c r="F116">
        <v>0.3</v>
      </c>
      <c r="G116">
        <v>6</v>
      </c>
      <c r="H116">
        <v>65.8</v>
      </c>
      <c r="I116">
        <v>89.4</v>
      </c>
    </row>
    <row r="117" spans="1:9" x14ac:dyDescent="0.35">
      <c r="A117" t="s">
        <v>17</v>
      </c>
      <c r="B117" t="s">
        <v>18</v>
      </c>
      <c r="C117" s="2">
        <v>46078</v>
      </c>
      <c r="D117">
        <v>133.9</v>
      </c>
      <c r="E117">
        <v>31.6</v>
      </c>
      <c r="F117">
        <v>2.6</v>
      </c>
      <c r="G117">
        <v>3</v>
      </c>
      <c r="H117">
        <v>37.6</v>
      </c>
      <c r="I117">
        <v>86.2</v>
      </c>
    </row>
    <row r="118" spans="1:9" x14ac:dyDescent="0.35">
      <c r="A118" t="s">
        <v>39</v>
      </c>
      <c r="B118" t="s">
        <v>40</v>
      </c>
      <c r="C118" s="2">
        <v>46102</v>
      </c>
      <c r="D118">
        <v>332.8</v>
      </c>
      <c r="E118">
        <v>80.3</v>
      </c>
      <c r="F118">
        <v>2.7</v>
      </c>
      <c r="G118">
        <v>4</v>
      </c>
      <c r="H118">
        <v>50.8</v>
      </c>
      <c r="I118">
        <v>88.8</v>
      </c>
    </row>
    <row r="119" spans="1:9" x14ac:dyDescent="0.35">
      <c r="A119" t="s">
        <v>47</v>
      </c>
      <c r="B119" t="s">
        <v>48</v>
      </c>
      <c r="C119" s="2">
        <v>46108</v>
      </c>
      <c r="D119">
        <v>83.5</v>
      </c>
      <c r="E119">
        <v>16.8</v>
      </c>
      <c r="F119">
        <v>4.0999999999999996</v>
      </c>
      <c r="G119">
        <v>3</v>
      </c>
      <c r="H119">
        <v>33.299999999999997</v>
      </c>
      <c r="I119">
        <v>99.2</v>
      </c>
    </row>
    <row r="120" spans="1:9" x14ac:dyDescent="0.35">
      <c r="A120" t="s">
        <v>41</v>
      </c>
      <c r="B120" t="s">
        <v>42</v>
      </c>
      <c r="C120" s="2">
        <v>46061</v>
      </c>
      <c r="D120">
        <v>316.39999999999998</v>
      </c>
      <c r="E120">
        <v>80.2</v>
      </c>
      <c r="F120">
        <v>1.3</v>
      </c>
      <c r="G120">
        <v>5</v>
      </c>
      <c r="H120">
        <v>39</v>
      </c>
      <c r="I120">
        <v>90.8</v>
      </c>
    </row>
    <row r="121" spans="1:9" x14ac:dyDescent="0.35">
      <c r="A121" t="s">
        <v>43</v>
      </c>
      <c r="B121" t="s">
        <v>44</v>
      </c>
      <c r="C121" s="2">
        <v>46036</v>
      </c>
      <c r="D121">
        <v>167.8</v>
      </c>
      <c r="E121">
        <v>65</v>
      </c>
      <c r="F121">
        <v>2.7</v>
      </c>
      <c r="G121">
        <v>5</v>
      </c>
      <c r="H121">
        <v>31</v>
      </c>
      <c r="I121">
        <v>97.5</v>
      </c>
    </row>
    <row r="122" spans="1:9" x14ac:dyDescent="0.35">
      <c r="A122" t="s">
        <v>39</v>
      </c>
      <c r="B122" t="s">
        <v>40</v>
      </c>
      <c r="C122" s="2">
        <v>46058</v>
      </c>
      <c r="D122">
        <v>83</v>
      </c>
      <c r="E122">
        <v>16.2</v>
      </c>
      <c r="F122">
        <v>3.5</v>
      </c>
      <c r="G122">
        <v>1</v>
      </c>
      <c r="H122">
        <v>71</v>
      </c>
      <c r="I122">
        <v>96.2</v>
      </c>
    </row>
    <row r="123" spans="1:9" x14ac:dyDescent="0.35">
      <c r="A123" t="s">
        <v>29</v>
      </c>
      <c r="B123" t="s">
        <v>30</v>
      </c>
      <c r="C123" s="2">
        <v>46052</v>
      </c>
      <c r="D123">
        <v>304.60000000000002</v>
      </c>
      <c r="E123">
        <v>81.2</v>
      </c>
      <c r="F123">
        <v>2.9</v>
      </c>
      <c r="G123">
        <v>5</v>
      </c>
      <c r="H123">
        <v>60.5</v>
      </c>
      <c r="I123">
        <v>95.8</v>
      </c>
    </row>
    <row r="124" spans="1:9" x14ac:dyDescent="0.35">
      <c r="A124" t="s">
        <v>25</v>
      </c>
      <c r="B124" t="s">
        <v>26</v>
      </c>
      <c r="C124" s="2">
        <v>46103</v>
      </c>
      <c r="D124">
        <v>116</v>
      </c>
      <c r="E124">
        <v>25.8</v>
      </c>
      <c r="F124">
        <v>0.4</v>
      </c>
      <c r="G124">
        <v>8</v>
      </c>
      <c r="H124">
        <v>31.5</v>
      </c>
      <c r="I124">
        <v>90.5</v>
      </c>
    </row>
    <row r="125" spans="1:9" x14ac:dyDescent="0.35">
      <c r="A125" t="s">
        <v>25</v>
      </c>
      <c r="B125" t="s">
        <v>26</v>
      </c>
      <c r="C125" s="2">
        <v>46034</v>
      </c>
      <c r="D125">
        <v>416.6</v>
      </c>
      <c r="E125">
        <v>113.1</v>
      </c>
      <c r="F125">
        <v>2</v>
      </c>
      <c r="G125">
        <v>4</v>
      </c>
      <c r="H125">
        <v>35.9</v>
      </c>
      <c r="I125">
        <v>93.1</v>
      </c>
    </row>
    <row r="126" spans="1:9" x14ac:dyDescent="0.35">
      <c r="A126" t="s">
        <v>17</v>
      </c>
      <c r="B126" t="s">
        <v>18</v>
      </c>
      <c r="C126" s="2">
        <v>46090</v>
      </c>
      <c r="D126">
        <v>265.7</v>
      </c>
      <c r="E126">
        <v>75.099999999999994</v>
      </c>
      <c r="F126">
        <v>0.9</v>
      </c>
      <c r="G126">
        <v>8</v>
      </c>
      <c r="H126">
        <v>73.5</v>
      </c>
      <c r="I126">
        <v>89.4</v>
      </c>
    </row>
    <row r="127" spans="1:9" x14ac:dyDescent="0.35">
      <c r="A127" t="s">
        <v>23</v>
      </c>
      <c r="B127" t="s">
        <v>24</v>
      </c>
      <c r="C127" s="2">
        <v>46037</v>
      </c>
      <c r="D127">
        <v>253.3</v>
      </c>
      <c r="E127">
        <v>84.3</v>
      </c>
      <c r="F127">
        <v>3.4</v>
      </c>
      <c r="G127">
        <v>4</v>
      </c>
      <c r="H127">
        <v>68.7</v>
      </c>
      <c r="I127">
        <v>95.9</v>
      </c>
    </row>
    <row r="128" spans="1:9" x14ac:dyDescent="0.35">
      <c r="A128" t="s">
        <v>39</v>
      </c>
      <c r="B128" t="s">
        <v>40</v>
      </c>
      <c r="C128" s="2">
        <v>46094</v>
      </c>
      <c r="D128">
        <v>215.3</v>
      </c>
      <c r="E128">
        <v>43.6</v>
      </c>
      <c r="F128">
        <v>0.3</v>
      </c>
      <c r="G128">
        <v>2</v>
      </c>
      <c r="H128">
        <v>50.5</v>
      </c>
      <c r="I128">
        <v>95.1</v>
      </c>
    </row>
    <row r="129" spans="1:9" x14ac:dyDescent="0.35">
      <c r="A129" t="s">
        <v>47</v>
      </c>
      <c r="B129" t="s">
        <v>48</v>
      </c>
      <c r="C129" s="2">
        <v>46097</v>
      </c>
      <c r="D129">
        <v>221</v>
      </c>
      <c r="E129">
        <v>48.8</v>
      </c>
      <c r="F129">
        <v>1.8</v>
      </c>
      <c r="G129">
        <v>4</v>
      </c>
      <c r="H129">
        <v>51.2</v>
      </c>
      <c r="I129">
        <v>94.3</v>
      </c>
    </row>
    <row r="130" spans="1:9" x14ac:dyDescent="0.35">
      <c r="A130" t="s">
        <v>13</v>
      </c>
      <c r="B130" t="s">
        <v>14</v>
      </c>
      <c r="C130" s="2">
        <v>46064</v>
      </c>
      <c r="D130">
        <v>418.6</v>
      </c>
      <c r="E130">
        <v>123.2</v>
      </c>
      <c r="F130">
        <v>0.5</v>
      </c>
      <c r="G130">
        <v>8</v>
      </c>
      <c r="H130">
        <v>70.900000000000006</v>
      </c>
      <c r="I130">
        <v>89.5</v>
      </c>
    </row>
    <row r="131" spans="1:9" x14ac:dyDescent="0.35">
      <c r="A131" t="s">
        <v>15</v>
      </c>
      <c r="B131" t="s">
        <v>16</v>
      </c>
      <c r="C131" s="2">
        <v>46037</v>
      </c>
      <c r="D131">
        <v>131.69999999999999</v>
      </c>
      <c r="E131">
        <v>24.6</v>
      </c>
      <c r="F131">
        <v>1.5</v>
      </c>
      <c r="G131">
        <v>8</v>
      </c>
      <c r="H131">
        <v>35.200000000000003</v>
      </c>
      <c r="I131">
        <v>88.5</v>
      </c>
    </row>
    <row r="132" spans="1:9" x14ac:dyDescent="0.35">
      <c r="A132" t="s">
        <v>13</v>
      </c>
      <c r="B132" t="s">
        <v>14</v>
      </c>
      <c r="C132" s="2">
        <v>46040</v>
      </c>
      <c r="D132">
        <v>223.8</v>
      </c>
      <c r="E132">
        <v>58.9</v>
      </c>
      <c r="F132">
        <v>4.3</v>
      </c>
      <c r="G132">
        <v>7</v>
      </c>
      <c r="H132">
        <v>56.4</v>
      </c>
      <c r="I132">
        <v>95.9</v>
      </c>
    </row>
    <row r="133" spans="1:9" x14ac:dyDescent="0.35">
      <c r="A133" t="s">
        <v>15</v>
      </c>
      <c r="B133" t="s">
        <v>16</v>
      </c>
      <c r="C133" s="2">
        <v>46106</v>
      </c>
      <c r="D133">
        <v>116.6</v>
      </c>
      <c r="E133">
        <v>28.3</v>
      </c>
      <c r="F133">
        <v>2</v>
      </c>
      <c r="G133">
        <v>5</v>
      </c>
      <c r="H133">
        <v>31.5</v>
      </c>
      <c r="I133">
        <v>90.6</v>
      </c>
    </row>
    <row r="134" spans="1:9" x14ac:dyDescent="0.35">
      <c r="A134" t="s">
        <v>35</v>
      </c>
      <c r="B134" t="s">
        <v>36</v>
      </c>
      <c r="C134" s="2">
        <v>46079</v>
      </c>
      <c r="D134">
        <v>431.7</v>
      </c>
      <c r="E134">
        <v>84.5</v>
      </c>
      <c r="F134">
        <v>0.6</v>
      </c>
      <c r="G134">
        <v>6</v>
      </c>
      <c r="H134">
        <v>54.5</v>
      </c>
      <c r="I134">
        <v>99.7</v>
      </c>
    </row>
    <row r="135" spans="1:9" x14ac:dyDescent="0.35">
      <c r="A135" t="s">
        <v>17</v>
      </c>
      <c r="B135" t="s">
        <v>18</v>
      </c>
      <c r="C135" s="2">
        <v>46030</v>
      </c>
      <c r="D135">
        <v>227.3</v>
      </c>
      <c r="E135">
        <v>68.599999999999994</v>
      </c>
      <c r="F135">
        <v>0.7</v>
      </c>
      <c r="G135">
        <v>8</v>
      </c>
      <c r="H135">
        <v>34.1</v>
      </c>
      <c r="I135">
        <v>88.2</v>
      </c>
    </row>
    <row r="136" spans="1:9" x14ac:dyDescent="0.35">
      <c r="A136" t="s">
        <v>45</v>
      </c>
      <c r="B136" t="s">
        <v>46</v>
      </c>
      <c r="C136" s="2">
        <v>46025</v>
      </c>
      <c r="D136">
        <v>98.7</v>
      </c>
      <c r="E136">
        <v>65</v>
      </c>
      <c r="F136">
        <v>4.5</v>
      </c>
      <c r="G136">
        <v>4</v>
      </c>
      <c r="H136">
        <v>33.1</v>
      </c>
      <c r="I136">
        <v>96.5</v>
      </c>
    </row>
    <row r="137" spans="1:9" x14ac:dyDescent="0.35">
      <c r="A137" t="s">
        <v>33</v>
      </c>
      <c r="B137" t="s">
        <v>34</v>
      </c>
      <c r="C137" s="2">
        <v>46098</v>
      </c>
      <c r="D137">
        <v>159.9</v>
      </c>
      <c r="E137">
        <v>31.1</v>
      </c>
      <c r="F137">
        <v>1.6</v>
      </c>
      <c r="G137">
        <v>3</v>
      </c>
      <c r="H137">
        <v>65.5</v>
      </c>
      <c r="I137">
        <v>93.9</v>
      </c>
    </row>
    <row r="138" spans="1:9" x14ac:dyDescent="0.35">
      <c r="A138" t="s">
        <v>47</v>
      </c>
      <c r="B138" t="s">
        <v>48</v>
      </c>
      <c r="C138" s="2">
        <v>46041</v>
      </c>
      <c r="D138">
        <v>445.4</v>
      </c>
      <c r="E138">
        <v>104.6</v>
      </c>
      <c r="F138">
        <v>3.6</v>
      </c>
      <c r="G138">
        <v>2</v>
      </c>
      <c r="H138">
        <v>59.7</v>
      </c>
      <c r="I138">
        <v>85.4</v>
      </c>
    </row>
    <row r="139" spans="1:9" x14ac:dyDescent="0.35">
      <c r="A139" t="s">
        <v>27</v>
      </c>
      <c r="B139" t="s">
        <v>28</v>
      </c>
      <c r="C139" s="2">
        <v>46068</v>
      </c>
      <c r="D139">
        <v>372.3</v>
      </c>
      <c r="E139">
        <v>108.2</v>
      </c>
      <c r="F139">
        <v>1.6</v>
      </c>
      <c r="G139">
        <v>3</v>
      </c>
      <c r="H139">
        <v>41.9</v>
      </c>
      <c r="I139">
        <v>86.9</v>
      </c>
    </row>
    <row r="140" spans="1:9" x14ac:dyDescent="0.35">
      <c r="A140" t="s">
        <v>15</v>
      </c>
      <c r="B140" t="s">
        <v>16</v>
      </c>
      <c r="C140" s="2">
        <v>46090</v>
      </c>
      <c r="D140">
        <v>122.1</v>
      </c>
      <c r="E140">
        <v>41.1</v>
      </c>
      <c r="F140">
        <v>2.1</v>
      </c>
      <c r="G140">
        <v>6</v>
      </c>
      <c r="H140">
        <v>53.1</v>
      </c>
      <c r="I140">
        <v>86.6</v>
      </c>
    </row>
    <row r="141" spans="1:9" x14ac:dyDescent="0.35">
      <c r="A141" t="s">
        <v>31</v>
      </c>
      <c r="B141" t="s">
        <v>32</v>
      </c>
      <c r="C141" s="2">
        <v>46051</v>
      </c>
      <c r="D141">
        <v>429.8</v>
      </c>
      <c r="E141">
        <v>147.30000000000001</v>
      </c>
      <c r="F141">
        <v>3.6</v>
      </c>
      <c r="G141">
        <v>5</v>
      </c>
      <c r="H141">
        <v>50.6</v>
      </c>
      <c r="I141">
        <v>99.5</v>
      </c>
    </row>
    <row r="142" spans="1:9" x14ac:dyDescent="0.35">
      <c r="A142" t="s">
        <v>21</v>
      </c>
      <c r="B142" t="s">
        <v>22</v>
      </c>
      <c r="C142" s="2">
        <v>46084</v>
      </c>
      <c r="D142">
        <v>393.5</v>
      </c>
      <c r="E142">
        <v>99.6</v>
      </c>
      <c r="F142">
        <v>0.7</v>
      </c>
      <c r="G142">
        <v>8</v>
      </c>
      <c r="H142">
        <v>33.299999999999997</v>
      </c>
      <c r="I142">
        <v>86.2</v>
      </c>
    </row>
    <row r="143" spans="1:9" x14ac:dyDescent="0.35">
      <c r="A143" t="s">
        <v>45</v>
      </c>
      <c r="B143" t="s">
        <v>46</v>
      </c>
      <c r="C143" s="2">
        <v>46041</v>
      </c>
      <c r="D143">
        <v>104.3</v>
      </c>
      <c r="E143">
        <v>29.4</v>
      </c>
      <c r="F143">
        <v>2.9</v>
      </c>
      <c r="G143">
        <v>6</v>
      </c>
      <c r="H143">
        <v>47.1</v>
      </c>
      <c r="I143">
        <v>94</v>
      </c>
    </row>
    <row r="144" spans="1:9" x14ac:dyDescent="0.35">
      <c r="A144" t="s">
        <v>29</v>
      </c>
      <c r="B144" t="s">
        <v>30</v>
      </c>
      <c r="C144" s="2">
        <v>46081</v>
      </c>
      <c r="D144">
        <v>267.10000000000002</v>
      </c>
      <c r="E144">
        <v>67.400000000000006</v>
      </c>
      <c r="F144">
        <v>2.2999999999999998</v>
      </c>
      <c r="G144">
        <v>2</v>
      </c>
      <c r="H144">
        <v>68.400000000000006</v>
      </c>
      <c r="I144">
        <v>94.8</v>
      </c>
    </row>
    <row r="145" spans="1:9" x14ac:dyDescent="0.35">
      <c r="A145" t="s">
        <v>13</v>
      </c>
      <c r="B145" t="s">
        <v>14</v>
      </c>
      <c r="C145" s="2">
        <v>46050</v>
      </c>
      <c r="D145">
        <v>239.1</v>
      </c>
      <c r="E145">
        <v>46</v>
      </c>
      <c r="F145">
        <v>2</v>
      </c>
      <c r="G145">
        <v>8</v>
      </c>
      <c r="H145">
        <v>47.9</v>
      </c>
      <c r="I145">
        <v>95.9</v>
      </c>
    </row>
    <row r="146" spans="1:9" x14ac:dyDescent="0.35">
      <c r="A146" t="s">
        <v>23</v>
      </c>
      <c r="B146" t="s">
        <v>24</v>
      </c>
      <c r="C146" s="2">
        <v>46077</v>
      </c>
      <c r="D146">
        <v>195.6</v>
      </c>
      <c r="E146">
        <v>56.1</v>
      </c>
      <c r="F146">
        <v>4.3</v>
      </c>
      <c r="G146">
        <v>8</v>
      </c>
      <c r="H146">
        <v>33</v>
      </c>
      <c r="I146">
        <v>97.5</v>
      </c>
    </row>
    <row r="147" spans="1:9" x14ac:dyDescent="0.35">
      <c r="A147" t="s">
        <v>11</v>
      </c>
      <c r="B147" t="s">
        <v>12</v>
      </c>
      <c r="C147" s="2">
        <v>46078</v>
      </c>
      <c r="D147">
        <v>115.7</v>
      </c>
      <c r="E147">
        <v>24.1</v>
      </c>
      <c r="F147">
        <v>3.7</v>
      </c>
      <c r="G147">
        <v>1</v>
      </c>
      <c r="H147">
        <v>56.4</v>
      </c>
      <c r="I147">
        <v>93.4</v>
      </c>
    </row>
    <row r="148" spans="1:9" x14ac:dyDescent="0.35">
      <c r="A148" t="s">
        <v>23</v>
      </c>
      <c r="B148" t="s">
        <v>24</v>
      </c>
      <c r="C148" s="2">
        <v>46108</v>
      </c>
      <c r="D148">
        <v>125.2</v>
      </c>
      <c r="E148">
        <v>33.299999999999997</v>
      </c>
      <c r="F148">
        <v>3.1</v>
      </c>
      <c r="G148">
        <v>7</v>
      </c>
      <c r="H148">
        <v>69.099999999999994</v>
      </c>
      <c r="I148">
        <v>95.8</v>
      </c>
    </row>
    <row r="149" spans="1:9" x14ac:dyDescent="0.35">
      <c r="A149" t="s">
        <v>29</v>
      </c>
      <c r="B149" t="s">
        <v>30</v>
      </c>
      <c r="C149" s="2">
        <v>46099</v>
      </c>
      <c r="D149">
        <v>195.6</v>
      </c>
      <c r="E149">
        <v>63.5</v>
      </c>
      <c r="F149">
        <v>2.4</v>
      </c>
      <c r="G149">
        <v>3</v>
      </c>
      <c r="H149">
        <v>59.6</v>
      </c>
      <c r="I149">
        <v>88.4</v>
      </c>
    </row>
    <row r="150" spans="1:9" x14ac:dyDescent="0.35">
      <c r="A150" t="s">
        <v>9</v>
      </c>
      <c r="B150" t="s">
        <v>10</v>
      </c>
      <c r="C150" s="2">
        <v>46067</v>
      </c>
      <c r="D150">
        <v>392.8</v>
      </c>
      <c r="E150">
        <v>103.6</v>
      </c>
      <c r="F150">
        <v>3.5</v>
      </c>
      <c r="G150">
        <v>4</v>
      </c>
      <c r="H150">
        <v>66.3</v>
      </c>
      <c r="I150">
        <v>97.7</v>
      </c>
    </row>
    <row r="151" spans="1:9" x14ac:dyDescent="0.35">
      <c r="A151" t="s">
        <v>45</v>
      </c>
      <c r="B151" t="s">
        <v>46</v>
      </c>
      <c r="C151" s="2">
        <v>46101</v>
      </c>
      <c r="D151">
        <v>329.7</v>
      </c>
      <c r="E151">
        <v>76.599999999999994</v>
      </c>
      <c r="F151">
        <v>2.8</v>
      </c>
      <c r="G151">
        <v>5</v>
      </c>
      <c r="H151">
        <v>31.3</v>
      </c>
      <c r="I151">
        <v>89.1</v>
      </c>
    </row>
    <row r="152" spans="1:9" x14ac:dyDescent="0.35">
      <c r="A152" t="s">
        <v>29</v>
      </c>
      <c r="B152" t="s">
        <v>30</v>
      </c>
      <c r="C152" s="2">
        <v>46066</v>
      </c>
      <c r="D152">
        <v>209.9</v>
      </c>
      <c r="E152">
        <v>63.8</v>
      </c>
      <c r="F152">
        <v>0.8</v>
      </c>
      <c r="G152">
        <v>7</v>
      </c>
      <c r="H152">
        <v>33.1</v>
      </c>
      <c r="I152">
        <v>96.1</v>
      </c>
    </row>
    <row r="153" spans="1:9" x14ac:dyDescent="0.35">
      <c r="A153" t="s">
        <v>27</v>
      </c>
      <c r="B153" t="s">
        <v>28</v>
      </c>
      <c r="C153" s="2">
        <v>46034</v>
      </c>
      <c r="D153">
        <v>356.1</v>
      </c>
      <c r="E153">
        <v>105.3</v>
      </c>
      <c r="F153">
        <v>2</v>
      </c>
      <c r="G153">
        <v>6</v>
      </c>
      <c r="H153">
        <v>37.1</v>
      </c>
      <c r="I153">
        <v>89.7</v>
      </c>
    </row>
    <row r="154" spans="1:9" x14ac:dyDescent="0.35">
      <c r="A154" t="s">
        <v>23</v>
      </c>
      <c r="B154" t="s">
        <v>24</v>
      </c>
      <c r="C154" s="2">
        <v>46095</v>
      </c>
      <c r="D154">
        <v>300.60000000000002</v>
      </c>
      <c r="E154">
        <v>58</v>
      </c>
      <c r="F154">
        <v>0.9</v>
      </c>
      <c r="G154">
        <v>1</v>
      </c>
      <c r="H154">
        <v>60.3</v>
      </c>
      <c r="I154">
        <v>89.1</v>
      </c>
    </row>
    <row r="155" spans="1:9" x14ac:dyDescent="0.35">
      <c r="A155" t="s">
        <v>15</v>
      </c>
      <c r="B155" t="s">
        <v>16</v>
      </c>
      <c r="C155" s="2">
        <v>46085</v>
      </c>
      <c r="D155">
        <v>304.60000000000002</v>
      </c>
      <c r="E155">
        <v>77.7</v>
      </c>
      <c r="F155">
        <v>1.1000000000000001</v>
      </c>
      <c r="G155">
        <v>2</v>
      </c>
      <c r="H155">
        <v>45.5</v>
      </c>
      <c r="I155">
        <v>86.7</v>
      </c>
    </row>
    <row r="156" spans="1:9" x14ac:dyDescent="0.35">
      <c r="A156" t="s">
        <v>41</v>
      </c>
      <c r="B156" t="s">
        <v>42</v>
      </c>
      <c r="C156" s="2">
        <v>46085</v>
      </c>
      <c r="D156">
        <v>275</v>
      </c>
      <c r="E156">
        <v>75.7</v>
      </c>
      <c r="F156">
        <v>1.1000000000000001</v>
      </c>
      <c r="G156">
        <v>1</v>
      </c>
      <c r="H156">
        <v>30.3</v>
      </c>
      <c r="I156">
        <v>89.5</v>
      </c>
    </row>
    <row r="157" spans="1:9" x14ac:dyDescent="0.35">
      <c r="A157" t="s">
        <v>33</v>
      </c>
      <c r="B157" t="s">
        <v>34</v>
      </c>
      <c r="C157" s="2">
        <v>46040</v>
      </c>
      <c r="D157">
        <v>362.7</v>
      </c>
      <c r="E157">
        <v>101.3</v>
      </c>
      <c r="F157">
        <v>0.7</v>
      </c>
      <c r="G157">
        <v>8</v>
      </c>
      <c r="H157">
        <v>63.6</v>
      </c>
      <c r="I157">
        <v>87.6</v>
      </c>
    </row>
    <row r="158" spans="1:9" x14ac:dyDescent="0.35">
      <c r="A158" t="s">
        <v>39</v>
      </c>
      <c r="B158" t="s">
        <v>40</v>
      </c>
      <c r="C158" s="2">
        <v>46091</v>
      </c>
      <c r="D158">
        <v>340.4</v>
      </c>
      <c r="E158">
        <v>82</v>
      </c>
      <c r="F158">
        <v>3.8</v>
      </c>
      <c r="G158">
        <v>6</v>
      </c>
      <c r="H158">
        <v>33.200000000000003</v>
      </c>
      <c r="I158">
        <v>97.9</v>
      </c>
    </row>
    <row r="159" spans="1:9" x14ac:dyDescent="0.35">
      <c r="A159" t="s">
        <v>21</v>
      </c>
      <c r="B159" t="s">
        <v>22</v>
      </c>
      <c r="C159" s="2">
        <v>46078</v>
      </c>
      <c r="D159">
        <v>86.9</v>
      </c>
      <c r="E159">
        <v>16.399999999999999</v>
      </c>
      <c r="F159">
        <v>3.9</v>
      </c>
      <c r="G159">
        <v>7</v>
      </c>
      <c r="H159">
        <v>55.8</v>
      </c>
      <c r="I159">
        <v>95.6</v>
      </c>
    </row>
    <row r="160" spans="1:9" x14ac:dyDescent="0.35">
      <c r="A160" t="s">
        <v>15</v>
      </c>
      <c r="B160" t="s">
        <v>16</v>
      </c>
      <c r="C160" s="2">
        <v>46060</v>
      </c>
      <c r="D160">
        <v>122.6</v>
      </c>
      <c r="E160">
        <v>42.9</v>
      </c>
      <c r="F160">
        <v>1.6</v>
      </c>
      <c r="G160">
        <v>8</v>
      </c>
      <c r="H160">
        <v>67.400000000000006</v>
      </c>
      <c r="I160">
        <v>98.8</v>
      </c>
    </row>
    <row r="161" spans="1:9" x14ac:dyDescent="0.35">
      <c r="A161" t="s">
        <v>11</v>
      </c>
      <c r="B161" t="s">
        <v>12</v>
      </c>
      <c r="C161" s="2">
        <v>46078</v>
      </c>
      <c r="D161">
        <v>392.5</v>
      </c>
      <c r="E161">
        <v>113.5</v>
      </c>
      <c r="F161">
        <v>2.7</v>
      </c>
      <c r="G161">
        <v>2</v>
      </c>
      <c r="H161">
        <v>47.8</v>
      </c>
      <c r="I161">
        <v>89.7</v>
      </c>
    </row>
    <row r="162" spans="1:9" x14ac:dyDescent="0.35">
      <c r="A162" t="s">
        <v>23</v>
      </c>
      <c r="B162" t="s">
        <v>24</v>
      </c>
      <c r="C162" s="2">
        <v>46051</v>
      </c>
      <c r="D162">
        <v>203.2</v>
      </c>
      <c r="E162">
        <v>62.4</v>
      </c>
      <c r="F162">
        <v>2.4</v>
      </c>
      <c r="G162">
        <v>2</v>
      </c>
      <c r="H162">
        <v>53.9</v>
      </c>
      <c r="I162">
        <v>87.9</v>
      </c>
    </row>
    <row r="163" spans="1:9" x14ac:dyDescent="0.35">
      <c r="A163" t="s">
        <v>17</v>
      </c>
      <c r="B163" t="s">
        <v>18</v>
      </c>
      <c r="C163" s="2">
        <v>46067</v>
      </c>
      <c r="D163">
        <v>349.1</v>
      </c>
      <c r="E163">
        <v>69.7</v>
      </c>
      <c r="F163">
        <v>3.7</v>
      </c>
      <c r="G163">
        <v>4</v>
      </c>
      <c r="H163">
        <v>34.6</v>
      </c>
      <c r="I163">
        <v>88.8</v>
      </c>
    </row>
    <row r="164" spans="1:9" x14ac:dyDescent="0.35">
      <c r="A164" t="s">
        <v>37</v>
      </c>
      <c r="B164" t="s">
        <v>38</v>
      </c>
      <c r="C164" s="2">
        <v>46100</v>
      </c>
      <c r="D164">
        <v>136.6</v>
      </c>
      <c r="E164">
        <v>28.2</v>
      </c>
      <c r="F164">
        <v>0.5</v>
      </c>
      <c r="G164">
        <v>8</v>
      </c>
      <c r="H164">
        <v>50.9</v>
      </c>
      <c r="I164">
        <v>93.5</v>
      </c>
    </row>
    <row r="165" spans="1:9" x14ac:dyDescent="0.35">
      <c r="A165" t="s">
        <v>41</v>
      </c>
      <c r="B165" t="s">
        <v>42</v>
      </c>
      <c r="C165" s="2">
        <v>46080</v>
      </c>
      <c r="D165">
        <v>332</v>
      </c>
      <c r="E165">
        <v>64.099999999999994</v>
      </c>
      <c r="F165">
        <v>3</v>
      </c>
      <c r="G165">
        <v>6</v>
      </c>
      <c r="H165">
        <v>68.900000000000006</v>
      </c>
      <c r="I165">
        <v>94.4</v>
      </c>
    </row>
    <row r="166" spans="1:9" x14ac:dyDescent="0.35">
      <c r="A166" t="s">
        <v>25</v>
      </c>
      <c r="B166" t="s">
        <v>26</v>
      </c>
      <c r="C166" s="2">
        <v>46079</v>
      </c>
      <c r="D166">
        <v>105.3</v>
      </c>
      <c r="E166">
        <v>26.4</v>
      </c>
      <c r="F166">
        <v>1.5</v>
      </c>
      <c r="G166">
        <v>5</v>
      </c>
      <c r="H166">
        <v>56.6</v>
      </c>
      <c r="I166">
        <v>90.3</v>
      </c>
    </row>
    <row r="167" spans="1:9" x14ac:dyDescent="0.35">
      <c r="A167" t="s">
        <v>11</v>
      </c>
      <c r="B167" t="s">
        <v>12</v>
      </c>
      <c r="C167" s="2">
        <v>46062</v>
      </c>
      <c r="D167">
        <v>250.8</v>
      </c>
      <c r="E167">
        <v>86.4</v>
      </c>
      <c r="F167">
        <v>1.8</v>
      </c>
      <c r="G167">
        <v>5</v>
      </c>
      <c r="H167">
        <v>33.5</v>
      </c>
      <c r="I167">
        <v>98</v>
      </c>
    </row>
    <row r="168" spans="1:9" x14ac:dyDescent="0.35">
      <c r="A168" t="s">
        <v>11</v>
      </c>
      <c r="B168" t="s">
        <v>12</v>
      </c>
      <c r="C168" s="2">
        <v>46101</v>
      </c>
      <c r="D168">
        <v>299.8</v>
      </c>
      <c r="E168">
        <v>78.099999999999994</v>
      </c>
      <c r="F168">
        <v>2.7</v>
      </c>
      <c r="G168">
        <v>1</v>
      </c>
      <c r="H168">
        <v>50.2</v>
      </c>
      <c r="I168">
        <v>97.1</v>
      </c>
    </row>
    <row r="169" spans="1:9" x14ac:dyDescent="0.35">
      <c r="A169" t="s">
        <v>33</v>
      </c>
      <c r="B169" t="s">
        <v>34</v>
      </c>
      <c r="C169" s="2">
        <v>46064</v>
      </c>
      <c r="D169">
        <v>303.89999999999998</v>
      </c>
      <c r="E169">
        <v>73.2</v>
      </c>
      <c r="F169">
        <v>4.3</v>
      </c>
      <c r="G169">
        <v>8</v>
      </c>
      <c r="H169">
        <v>34.700000000000003</v>
      </c>
      <c r="I169">
        <v>98.5</v>
      </c>
    </row>
    <row r="170" spans="1:9" x14ac:dyDescent="0.35">
      <c r="A170" t="s">
        <v>23</v>
      </c>
      <c r="B170" t="s">
        <v>24</v>
      </c>
      <c r="C170" s="2">
        <v>46033</v>
      </c>
      <c r="D170">
        <v>266.7</v>
      </c>
      <c r="E170">
        <v>81.7</v>
      </c>
      <c r="F170">
        <v>1.3</v>
      </c>
      <c r="G170">
        <v>8</v>
      </c>
      <c r="H170">
        <v>74.599999999999994</v>
      </c>
      <c r="I170">
        <v>92.9</v>
      </c>
    </row>
    <row r="171" spans="1:9" x14ac:dyDescent="0.35">
      <c r="A171" t="s">
        <v>45</v>
      </c>
      <c r="B171" t="s">
        <v>46</v>
      </c>
      <c r="C171" s="2">
        <v>46043</v>
      </c>
      <c r="D171">
        <v>214.6</v>
      </c>
      <c r="E171">
        <v>40.700000000000003</v>
      </c>
      <c r="F171">
        <v>1.9</v>
      </c>
      <c r="G171">
        <v>6</v>
      </c>
      <c r="H171">
        <v>60.6</v>
      </c>
      <c r="I171">
        <v>85.8</v>
      </c>
    </row>
    <row r="172" spans="1:9" x14ac:dyDescent="0.35">
      <c r="A172" t="s">
        <v>23</v>
      </c>
      <c r="B172" t="s">
        <v>24</v>
      </c>
      <c r="C172" s="2">
        <v>46031</v>
      </c>
      <c r="D172">
        <v>202</v>
      </c>
      <c r="E172">
        <v>46.9</v>
      </c>
      <c r="F172">
        <v>1.9</v>
      </c>
      <c r="G172">
        <v>5</v>
      </c>
      <c r="H172">
        <v>62.6</v>
      </c>
      <c r="I172">
        <v>94.8</v>
      </c>
    </row>
    <row r="173" spans="1:9" x14ac:dyDescent="0.35">
      <c r="A173" t="s">
        <v>45</v>
      </c>
      <c r="B173" t="s">
        <v>46</v>
      </c>
      <c r="C173" s="2">
        <v>46042</v>
      </c>
      <c r="D173">
        <v>203.3</v>
      </c>
      <c r="E173">
        <v>46.5</v>
      </c>
      <c r="F173">
        <v>0.8</v>
      </c>
      <c r="G173">
        <v>6</v>
      </c>
      <c r="H173">
        <v>44</v>
      </c>
      <c r="I173">
        <v>94.8</v>
      </c>
    </row>
    <row r="174" spans="1:9" x14ac:dyDescent="0.35">
      <c r="A174" t="s">
        <v>39</v>
      </c>
      <c r="B174" t="s">
        <v>40</v>
      </c>
      <c r="C174" s="2">
        <v>46039</v>
      </c>
      <c r="D174">
        <v>300.2</v>
      </c>
      <c r="E174">
        <v>56.3</v>
      </c>
      <c r="F174">
        <v>1.5</v>
      </c>
      <c r="G174">
        <v>7</v>
      </c>
      <c r="H174">
        <v>59</v>
      </c>
      <c r="I174">
        <v>89.9</v>
      </c>
    </row>
    <row r="175" spans="1:9" x14ac:dyDescent="0.35">
      <c r="A175" t="s">
        <v>25</v>
      </c>
      <c r="B175" t="s">
        <v>26</v>
      </c>
      <c r="C175" s="2">
        <v>46108</v>
      </c>
      <c r="D175">
        <v>340</v>
      </c>
      <c r="E175">
        <v>63.5</v>
      </c>
      <c r="F175">
        <v>4.5</v>
      </c>
      <c r="G175">
        <v>2</v>
      </c>
      <c r="H175">
        <v>59.1</v>
      </c>
      <c r="I175">
        <v>91.4</v>
      </c>
    </row>
    <row r="176" spans="1:9" x14ac:dyDescent="0.35">
      <c r="A176" t="s">
        <v>17</v>
      </c>
      <c r="B176" t="s">
        <v>18</v>
      </c>
      <c r="C176" s="2">
        <v>46025</v>
      </c>
      <c r="D176">
        <v>214.2</v>
      </c>
      <c r="E176">
        <v>65.2</v>
      </c>
      <c r="F176">
        <v>1.1000000000000001</v>
      </c>
      <c r="G176">
        <v>8</v>
      </c>
      <c r="H176">
        <v>38.6</v>
      </c>
      <c r="I176">
        <v>100</v>
      </c>
    </row>
    <row r="177" spans="1:9" x14ac:dyDescent="0.35">
      <c r="A177" t="s">
        <v>25</v>
      </c>
      <c r="B177" t="s">
        <v>26</v>
      </c>
      <c r="C177" s="2">
        <v>46032</v>
      </c>
      <c r="D177">
        <v>189.4</v>
      </c>
      <c r="E177">
        <v>38.4</v>
      </c>
      <c r="F177">
        <v>2.4</v>
      </c>
      <c r="G177">
        <v>1</v>
      </c>
      <c r="H177">
        <v>59.8</v>
      </c>
      <c r="I177">
        <v>98.1</v>
      </c>
    </row>
    <row r="178" spans="1:9" x14ac:dyDescent="0.35">
      <c r="A178" t="s">
        <v>45</v>
      </c>
      <c r="B178" t="s">
        <v>46</v>
      </c>
      <c r="C178" s="2">
        <v>46039</v>
      </c>
      <c r="D178">
        <v>301</v>
      </c>
      <c r="E178">
        <v>93.6</v>
      </c>
      <c r="F178">
        <v>1</v>
      </c>
      <c r="G178">
        <v>3</v>
      </c>
      <c r="H178">
        <v>62.5</v>
      </c>
      <c r="I178">
        <v>92</v>
      </c>
    </row>
    <row r="179" spans="1:9" x14ac:dyDescent="0.35">
      <c r="A179" t="s">
        <v>17</v>
      </c>
      <c r="B179" t="s">
        <v>18</v>
      </c>
      <c r="C179" s="2">
        <v>46109</v>
      </c>
      <c r="D179">
        <v>346.2</v>
      </c>
      <c r="E179">
        <v>63.9</v>
      </c>
      <c r="F179">
        <v>2.8</v>
      </c>
      <c r="G179">
        <v>8</v>
      </c>
      <c r="H179">
        <v>40.5</v>
      </c>
      <c r="I179">
        <v>88.6</v>
      </c>
    </row>
    <row r="180" spans="1:9" x14ac:dyDescent="0.35">
      <c r="A180" t="s">
        <v>43</v>
      </c>
      <c r="B180" t="s">
        <v>44</v>
      </c>
      <c r="C180" s="2">
        <v>46047</v>
      </c>
      <c r="D180">
        <v>216.1</v>
      </c>
      <c r="E180">
        <v>40.299999999999997</v>
      </c>
      <c r="F180">
        <v>4.4000000000000004</v>
      </c>
      <c r="G180">
        <v>8</v>
      </c>
      <c r="H180">
        <v>64.599999999999994</v>
      </c>
      <c r="I180">
        <v>96.7</v>
      </c>
    </row>
    <row r="181" spans="1:9" x14ac:dyDescent="0.35">
      <c r="A181" t="s">
        <v>31</v>
      </c>
      <c r="B181" t="s">
        <v>32</v>
      </c>
      <c r="C181" s="2">
        <v>46090</v>
      </c>
      <c r="D181">
        <v>234.9</v>
      </c>
      <c r="E181">
        <v>72.599999999999994</v>
      </c>
      <c r="F181">
        <v>1.1000000000000001</v>
      </c>
      <c r="G181">
        <v>3</v>
      </c>
      <c r="H181">
        <v>69.3</v>
      </c>
      <c r="I181">
        <v>85.8</v>
      </c>
    </row>
    <row r="182" spans="1:9" x14ac:dyDescent="0.35">
      <c r="A182" t="s">
        <v>43</v>
      </c>
      <c r="B182" t="s">
        <v>44</v>
      </c>
      <c r="C182" s="2">
        <v>46070</v>
      </c>
      <c r="D182">
        <v>285.2</v>
      </c>
      <c r="E182">
        <v>92.7</v>
      </c>
      <c r="F182">
        <v>3.8</v>
      </c>
      <c r="G182">
        <v>2</v>
      </c>
      <c r="H182">
        <v>42.8</v>
      </c>
      <c r="I182">
        <v>96.4</v>
      </c>
    </row>
    <row r="183" spans="1:9" x14ac:dyDescent="0.35">
      <c r="A183" t="s">
        <v>47</v>
      </c>
      <c r="B183" t="s">
        <v>48</v>
      </c>
      <c r="C183" s="2">
        <v>46080</v>
      </c>
      <c r="D183">
        <v>415</v>
      </c>
      <c r="E183">
        <v>129.80000000000001</v>
      </c>
      <c r="F183">
        <v>2.1</v>
      </c>
      <c r="G183">
        <v>4</v>
      </c>
      <c r="H183">
        <v>66.8</v>
      </c>
      <c r="I183">
        <v>98.3</v>
      </c>
    </row>
    <row r="184" spans="1:9" x14ac:dyDescent="0.35">
      <c r="A184" t="s">
        <v>27</v>
      </c>
      <c r="B184" t="s">
        <v>28</v>
      </c>
      <c r="C184" s="2">
        <v>46076</v>
      </c>
      <c r="D184">
        <v>99.7</v>
      </c>
      <c r="E184">
        <v>24</v>
      </c>
      <c r="F184">
        <v>1.2</v>
      </c>
      <c r="G184">
        <v>2</v>
      </c>
      <c r="H184">
        <v>46.9</v>
      </c>
      <c r="I184">
        <v>85.4</v>
      </c>
    </row>
    <row r="185" spans="1:9" x14ac:dyDescent="0.35">
      <c r="A185" t="s">
        <v>9</v>
      </c>
      <c r="B185" t="s">
        <v>10</v>
      </c>
      <c r="C185" s="2">
        <v>46106</v>
      </c>
      <c r="D185">
        <v>204.1</v>
      </c>
      <c r="E185">
        <v>63.9</v>
      </c>
      <c r="F185">
        <v>0.4</v>
      </c>
      <c r="G185">
        <v>8</v>
      </c>
      <c r="H185">
        <v>61.3</v>
      </c>
      <c r="I185">
        <v>87.1</v>
      </c>
    </row>
    <row r="186" spans="1:9" x14ac:dyDescent="0.35">
      <c r="A186" t="s">
        <v>43</v>
      </c>
      <c r="B186" t="s">
        <v>44</v>
      </c>
      <c r="C186" s="2">
        <v>46080</v>
      </c>
      <c r="D186">
        <v>307.7</v>
      </c>
      <c r="E186">
        <v>58.7</v>
      </c>
      <c r="F186">
        <v>0.3</v>
      </c>
      <c r="G186">
        <v>4</v>
      </c>
      <c r="H186">
        <v>67.599999999999994</v>
      </c>
      <c r="I186">
        <v>93.2</v>
      </c>
    </row>
    <row r="187" spans="1:9" x14ac:dyDescent="0.35">
      <c r="A187" t="s">
        <v>45</v>
      </c>
      <c r="B187" t="s">
        <v>46</v>
      </c>
      <c r="C187" s="2">
        <v>46090</v>
      </c>
      <c r="D187">
        <v>236.6</v>
      </c>
      <c r="E187">
        <v>48.3</v>
      </c>
      <c r="F187">
        <v>1.2</v>
      </c>
      <c r="G187">
        <v>2</v>
      </c>
      <c r="H187">
        <v>32.1</v>
      </c>
      <c r="I187">
        <v>91.3</v>
      </c>
    </row>
    <row r="188" spans="1:9" x14ac:dyDescent="0.35">
      <c r="A188" t="s">
        <v>45</v>
      </c>
      <c r="B188" t="s">
        <v>46</v>
      </c>
      <c r="C188" s="2">
        <v>46081</v>
      </c>
      <c r="D188">
        <v>103.2</v>
      </c>
      <c r="E188">
        <v>20.399999999999999</v>
      </c>
      <c r="F188">
        <v>2.2999999999999998</v>
      </c>
      <c r="G188">
        <v>1</v>
      </c>
      <c r="H188">
        <v>58.4</v>
      </c>
      <c r="I188">
        <v>93.6</v>
      </c>
    </row>
    <row r="189" spans="1:9" x14ac:dyDescent="0.35">
      <c r="A189" t="s">
        <v>25</v>
      </c>
      <c r="B189" t="s">
        <v>26</v>
      </c>
      <c r="C189" s="2">
        <v>46060</v>
      </c>
      <c r="D189">
        <v>238.8</v>
      </c>
      <c r="E189">
        <v>53.5</v>
      </c>
      <c r="F189">
        <v>1.2</v>
      </c>
      <c r="G189">
        <v>7</v>
      </c>
      <c r="H189">
        <v>38.4</v>
      </c>
      <c r="I189">
        <v>95</v>
      </c>
    </row>
    <row r="190" spans="1:9" x14ac:dyDescent="0.35">
      <c r="A190" t="s">
        <v>31</v>
      </c>
      <c r="B190" t="s">
        <v>32</v>
      </c>
      <c r="C190" s="2">
        <v>46069</v>
      </c>
      <c r="D190">
        <v>105</v>
      </c>
      <c r="E190">
        <v>24.9</v>
      </c>
      <c r="F190">
        <v>2.4</v>
      </c>
      <c r="G190">
        <v>1</v>
      </c>
      <c r="H190">
        <v>47.6</v>
      </c>
      <c r="I190">
        <v>92.1</v>
      </c>
    </row>
    <row r="191" spans="1:9" x14ac:dyDescent="0.35">
      <c r="A191" t="s">
        <v>39</v>
      </c>
      <c r="B191" t="s">
        <v>40</v>
      </c>
      <c r="C191" s="2">
        <v>46070</v>
      </c>
      <c r="D191">
        <v>173.9</v>
      </c>
      <c r="E191">
        <v>61.1</v>
      </c>
      <c r="F191">
        <v>3.6</v>
      </c>
      <c r="G191">
        <v>6</v>
      </c>
      <c r="H191">
        <v>40.9</v>
      </c>
      <c r="I191">
        <v>94.9</v>
      </c>
    </row>
    <row r="192" spans="1:9" x14ac:dyDescent="0.35">
      <c r="A192" t="s">
        <v>9</v>
      </c>
      <c r="B192" t="s">
        <v>10</v>
      </c>
      <c r="C192" s="2">
        <v>46097</v>
      </c>
      <c r="D192">
        <v>352</v>
      </c>
      <c r="E192">
        <v>95.2</v>
      </c>
      <c r="F192">
        <v>0.4</v>
      </c>
      <c r="G192">
        <v>6</v>
      </c>
      <c r="H192">
        <v>66.599999999999994</v>
      </c>
      <c r="I192">
        <v>87.6</v>
      </c>
    </row>
    <row r="193" spans="1:9" x14ac:dyDescent="0.35">
      <c r="A193" t="s">
        <v>35</v>
      </c>
      <c r="B193" t="s">
        <v>36</v>
      </c>
      <c r="C193" s="2">
        <v>46112</v>
      </c>
      <c r="D193">
        <v>257.10000000000002</v>
      </c>
      <c r="E193">
        <v>78.099999999999994</v>
      </c>
      <c r="F193">
        <v>0.8</v>
      </c>
      <c r="G193">
        <v>8</v>
      </c>
      <c r="H193">
        <v>31.7</v>
      </c>
      <c r="I193">
        <v>88</v>
      </c>
    </row>
    <row r="194" spans="1:9" x14ac:dyDescent="0.35">
      <c r="A194" t="s">
        <v>33</v>
      </c>
      <c r="B194" t="s">
        <v>34</v>
      </c>
      <c r="C194" s="2">
        <v>46028</v>
      </c>
      <c r="D194">
        <v>196.8</v>
      </c>
      <c r="E194">
        <v>54.1</v>
      </c>
      <c r="F194">
        <v>1.9</v>
      </c>
      <c r="G194">
        <v>8</v>
      </c>
      <c r="H194">
        <v>41.4</v>
      </c>
      <c r="I194">
        <v>96.3</v>
      </c>
    </row>
    <row r="195" spans="1:9" x14ac:dyDescent="0.35">
      <c r="A195" t="s">
        <v>33</v>
      </c>
      <c r="B195" t="s">
        <v>34</v>
      </c>
      <c r="C195" s="2">
        <v>46059</v>
      </c>
      <c r="D195">
        <v>212.1</v>
      </c>
      <c r="E195">
        <v>43.2</v>
      </c>
      <c r="F195">
        <v>3.9</v>
      </c>
      <c r="G195">
        <v>6</v>
      </c>
      <c r="H195">
        <v>42.3</v>
      </c>
      <c r="I195">
        <v>97</v>
      </c>
    </row>
    <row r="196" spans="1:9" x14ac:dyDescent="0.35">
      <c r="A196" t="s">
        <v>15</v>
      </c>
      <c r="B196" t="s">
        <v>16</v>
      </c>
      <c r="C196" s="2">
        <v>46074</v>
      </c>
      <c r="D196">
        <v>355</v>
      </c>
      <c r="E196">
        <v>68.099999999999994</v>
      </c>
      <c r="F196">
        <v>1.9</v>
      </c>
      <c r="G196">
        <v>3</v>
      </c>
      <c r="H196">
        <v>52.3</v>
      </c>
      <c r="I196">
        <v>92.5</v>
      </c>
    </row>
    <row r="197" spans="1:9" x14ac:dyDescent="0.35">
      <c r="A197" t="s">
        <v>31</v>
      </c>
      <c r="B197" t="s">
        <v>32</v>
      </c>
      <c r="C197" s="2">
        <v>46057</v>
      </c>
      <c r="D197">
        <v>376.4</v>
      </c>
      <c r="E197">
        <v>79</v>
      </c>
      <c r="F197">
        <v>0.5</v>
      </c>
      <c r="G197">
        <v>3</v>
      </c>
      <c r="H197">
        <v>54.5</v>
      </c>
      <c r="I197">
        <v>89.8</v>
      </c>
    </row>
    <row r="198" spans="1:9" x14ac:dyDescent="0.35">
      <c r="A198" t="s">
        <v>11</v>
      </c>
      <c r="B198" t="s">
        <v>12</v>
      </c>
      <c r="C198" s="2">
        <v>46064</v>
      </c>
      <c r="D198">
        <v>324.5</v>
      </c>
      <c r="E198">
        <v>89.5</v>
      </c>
      <c r="F198">
        <v>2.8</v>
      </c>
      <c r="G198">
        <v>7</v>
      </c>
      <c r="H198">
        <v>37.5</v>
      </c>
      <c r="I198">
        <v>91.7</v>
      </c>
    </row>
    <row r="199" spans="1:9" x14ac:dyDescent="0.35">
      <c r="A199" t="s">
        <v>35</v>
      </c>
      <c r="B199" t="s">
        <v>36</v>
      </c>
      <c r="C199" s="2">
        <v>46028</v>
      </c>
      <c r="D199">
        <v>348.9</v>
      </c>
      <c r="E199">
        <v>66.3</v>
      </c>
      <c r="F199">
        <v>2.8</v>
      </c>
      <c r="G199">
        <v>7</v>
      </c>
      <c r="H199">
        <v>42.4</v>
      </c>
      <c r="I199">
        <v>99.7</v>
      </c>
    </row>
    <row r="200" spans="1:9" x14ac:dyDescent="0.35">
      <c r="A200" t="s">
        <v>21</v>
      </c>
      <c r="B200" t="s">
        <v>22</v>
      </c>
      <c r="C200" s="2">
        <v>46032</v>
      </c>
      <c r="D200">
        <v>328.3</v>
      </c>
      <c r="E200">
        <v>84.2</v>
      </c>
      <c r="F200">
        <v>2.4</v>
      </c>
      <c r="G200">
        <v>3</v>
      </c>
      <c r="H200">
        <v>72.900000000000006</v>
      </c>
      <c r="I200">
        <v>87.1</v>
      </c>
    </row>
    <row r="201" spans="1:9" x14ac:dyDescent="0.35">
      <c r="A201" t="s">
        <v>45</v>
      </c>
      <c r="B201" t="s">
        <v>46</v>
      </c>
      <c r="C201" s="2">
        <v>46109</v>
      </c>
      <c r="D201">
        <v>369.1</v>
      </c>
      <c r="E201">
        <v>127.5</v>
      </c>
      <c r="F201">
        <v>0.5</v>
      </c>
      <c r="G201">
        <v>6</v>
      </c>
      <c r="H201">
        <v>46.3</v>
      </c>
      <c r="I201">
        <v>99.2</v>
      </c>
    </row>
    <row r="202" spans="1:9" x14ac:dyDescent="0.35">
      <c r="A202" t="s">
        <v>21</v>
      </c>
      <c r="B202" t="s">
        <v>22</v>
      </c>
      <c r="C202" s="2">
        <v>46100</v>
      </c>
      <c r="D202">
        <v>136.80000000000001</v>
      </c>
      <c r="E202">
        <v>34.1</v>
      </c>
      <c r="F202">
        <v>1.8</v>
      </c>
      <c r="G202">
        <v>8</v>
      </c>
      <c r="H202">
        <v>64.3</v>
      </c>
      <c r="I202">
        <v>93.6</v>
      </c>
    </row>
    <row r="203" spans="1:9" x14ac:dyDescent="0.35">
      <c r="A203" t="s">
        <v>31</v>
      </c>
      <c r="B203" t="s">
        <v>32</v>
      </c>
      <c r="C203" s="2">
        <v>46069</v>
      </c>
      <c r="D203">
        <v>227.3</v>
      </c>
      <c r="E203">
        <v>49.9</v>
      </c>
      <c r="F203">
        <v>1.3</v>
      </c>
      <c r="G203">
        <v>2</v>
      </c>
      <c r="H203">
        <v>31.2</v>
      </c>
      <c r="I203">
        <v>87.8</v>
      </c>
    </row>
    <row r="204" spans="1:9" x14ac:dyDescent="0.35">
      <c r="A204" t="s">
        <v>31</v>
      </c>
      <c r="B204" t="s">
        <v>32</v>
      </c>
      <c r="C204" s="2">
        <v>46072</v>
      </c>
      <c r="D204">
        <v>418</v>
      </c>
      <c r="E204">
        <v>134.1</v>
      </c>
      <c r="F204">
        <v>3.5</v>
      </c>
      <c r="G204">
        <v>8</v>
      </c>
      <c r="H204">
        <v>39.700000000000003</v>
      </c>
      <c r="I204">
        <v>94.2</v>
      </c>
    </row>
    <row r="205" spans="1:9" x14ac:dyDescent="0.35">
      <c r="A205" t="s">
        <v>43</v>
      </c>
      <c r="B205" t="s">
        <v>44</v>
      </c>
      <c r="C205" s="2">
        <v>46048</v>
      </c>
      <c r="D205">
        <v>125.4</v>
      </c>
      <c r="E205">
        <v>24.6</v>
      </c>
      <c r="F205">
        <v>2.1</v>
      </c>
      <c r="G205">
        <v>8</v>
      </c>
      <c r="H205">
        <v>74.900000000000006</v>
      </c>
      <c r="I205">
        <v>97.2</v>
      </c>
    </row>
    <row r="206" spans="1:9" x14ac:dyDescent="0.35">
      <c r="A206" t="s">
        <v>23</v>
      </c>
      <c r="B206" t="s">
        <v>24</v>
      </c>
      <c r="C206" s="2">
        <v>46108</v>
      </c>
      <c r="D206">
        <v>208.5</v>
      </c>
      <c r="E206">
        <v>70.099999999999994</v>
      </c>
      <c r="F206">
        <v>2.5</v>
      </c>
      <c r="G206">
        <v>5</v>
      </c>
      <c r="H206">
        <v>68.3</v>
      </c>
      <c r="I206">
        <v>95.7</v>
      </c>
    </row>
    <row r="207" spans="1:9" x14ac:dyDescent="0.35">
      <c r="A207" t="s">
        <v>37</v>
      </c>
      <c r="B207" t="s">
        <v>38</v>
      </c>
      <c r="C207" s="2">
        <v>46069</v>
      </c>
      <c r="D207">
        <v>268.2</v>
      </c>
      <c r="E207">
        <v>85.8</v>
      </c>
      <c r="F207">
        <v>1.1000000000000001</v>
      </c>
      <c r="G207">
        <v>3</v>
      </c>
      <c r="H207">
        <v>40.700000000000003</v>
      </c>
      <c r="I207">
        <v>92.4</v>
      </c>
    </row>
    <row r="208" spans="1:9" x14ac:dyDescent="0.35">
      <c r="A208" t="s">
        <v>17</v>
      </c>
      <c r="B208" t="s">
        <v>18</v>
      </c>
      <c r="C208" s="2">
        <v>46093</v>
      </c>
      <c r="D208">
        <v>291.7</v>
      </c>
      <c r="E208">
        <v>71.8</v>
      </c>
      <c r="F208">
        <v>4.4000000000000004</v>
      </c>
      <c r="G208">
        <v>3</v>
      </c>
      <c r="H208">
        <v>57.5</v>
      </c>
      <c r="I208">
        <v>86.3</v>
      </c>
    </row>
    <row r="209" spans="1:9" x14ac:dyDescent="0.35">
      <c r="A209" t="s">
        <v>29</v>
      </c>
      <c r="B209" t="s">
        <v>30</v>
      </c>
      <c r="C209" s="2">
        <v>46073</v>
      </c>
      <c r="D209">
        <v>449.9</v>
      </c>
      <c r="E209">
        <v>94.9</v>
      </c>
      <c r="F209">
        <v>2.5</v>
      </c>
      <c r="G209">
        <v>7</v>
      </c>
      <c r="H209">
        <v>67.099999999999994</v>
      </c>
      <c r="I209">
        <v>86.1</v>
      </c>
    </row>
    <row r="210" spans="1:9" x14ac:dyDescent="0.35">
      <c r="A210" t="s">
        <v>23</v>
      </c>
      <c r="B210" t="s">
        <v>24</v>
      </c>
      <c r="C210" s="2">
        <v>46105</v>
      </c>
      <c r="D210">
        <v>107.4</v>
      </c>
      <c r="E210">
        <v>26.5</v>
      </c>
      <c r="F210">
        <v>2.4</v>
      </c>
      <c r="G210">
        <v>3</v>
      </c>
      <c r="H210">
        <v>69.5</v>
      </c>
      <c r="I210">
        <v>96.7</v>
      </c>
    </row>
    <row r="211" spans="1:9" x14ac:dyDescent="0.35">
      <c r="A211" t="s">
        <v>41</v>
      </c>
      <c r="B211" t="s">
        <v>42</v>
      </c>
      <c r="C211" s="2">
        <v>46046</v>
      </c>
      <c r="D211">
        <v>364.1</v>
      </c>
      <c r="E211">
        <v>115.6</v>
      </c>
      <c r="F211">
        <v>2.4</v>
      </c>
      <c r="G211">
        <v>1</v>
      </c>
      <c r="H211">
        <v>67.400000000000006</v>
      </c>
      <c r="I211">
        <v>92.8</v>
      </c>
    </row>
    <row r="212" spans="1:9" x14ac:dyDescent="0.35">
      <c r="A212" t="s">
        <v>29</v>
      </c>
      <c r="B212" t="s">
        <v>30</v>
      </c>
      <c r="C212" s="2">
        <v>46044</v>
      </c>
      <c r="D212">
        <v>139.9</v>
      </c>
      <c r="E212">
        <v>26.3</v>
      </c>
      <c r="F212">
        <v>1.2</v>
      </c>
      <c r="G212">
        <v>5</v>
      </c>
      <c r="H212">
        <v>68.099999999999994</v>
      </c>
      <c r="I212">
        <v>88.8</v>
      </c>
    </row>
    <row r="213" spans="1:9" x14ac:dyDescent="0.35">
      <c r="A213" t="s">
        <v>13</v>
      </c>
      <c r="B213" t="s">
        <v>14</v>
      </c>
      <c r="C213" s="2">
        <v>46058</v>
      </c>
      <c r="D213">
        <v>126.3</v>
      </c>
      <c r="E213">
        <v>34.9</v>
      </c>
      <c r="F213">
        <v>2.5</v>
      </c>
      <c r="G213">
        <v>3</v>
      </c>
      <c r="H213">
        <v>56.6</v>
      </c>
      <c r="I213">
        <v>93.7</v>
      </c>
    </row>
    <row r="214" spans="1:9" x14ac:dyDescent="0.35">
      <c r="A214" t="s">
        <v>37</v>
      </c>
      <c r="B214" t="s">
        <v>38</v>
      </c>
      <c r="C214" s="2">
        <v>46107</v>
      </c>
      <c r="D214">
        <v>311.10000000000002</v>
      </c>
      <c r="E214">
        <v>59.4</v>
      </c>
      <c r="F214">
        <v>1.7</v>
      </c>
      <c r="G214">
        <v>1</v>
      </c>
      <c r="H214">
        <v>67.099999999999994</v>
      </c>
      <c r="I214">
        <v>85.4</v>
      </c>
    </row>
    <row r="215" spans="1:9" x14ac:dyDescent="0.35">
      <c r="A215" t="s">
        <v>21</v>
      </c>
      <c r="B215" t="s">
        <v>22</v>
      </c>
      <c r="C215" s="2">
        <v>46105</v>
      </c>
      <c r="D215">
        <v>365.3</v>
      </c>
      <c r="E215">
        <v>103.9</v>
      </c>
      <c r="F215">
        <v>1.1000000000000001</v>
      </c>
      <c r="G215">
        <v>7</v>
      </c>
      <c r="H215">
        <v>57.8</v>
      </c>
      <c r="I215">
        <v>85.5</v>
      </c>
    </row>
    <row r="216" spans="1:9" x14ac:dyDescent="0.35">
      <c r="A216" t="s">
        <v>13</v>
      </c>
      <c r="B216" t="s">
        <v>14</v>
      </c>
      <c r="C216" s="2">
        <v>46060</v>
      </c>
      <c r="D216">
        <v>317.5</v>
      </c>
      <c r="E216">
        <v>87.8</v>
      </c>
      <c r="F216">
        <v>1.3</v>
      </c>
      <c r="G216">
        <v>7</v>
      </c>
      <c r="H216">
        <v>43.4</v>
      </c>
      <c r="I216">
        <v>86.1</v>
      </c>
    </row>
    <row r="217" spans="1:9" x14ac:dyDescent="0.35">
      <c r="A217" t="s">
        <v>21</v>
      </c>
      <c r="B217" t="s">
        <v>22</v>
      </c>
      <c r="C217" s="2">
        <v>46043</v>
      </c>
      <c r="D217">
        <v>242.7</v>
      </c>
      <c r="E217">
        <v>59.1</v>
      </c>
      <c r="F217">
        <v>1.1000000000000001</v>
      </c>
      <c r="G217">
        <v>3</v>
      </c>
      <c r="H217">
        <v>44.1</v>
      </c>
      <c r="I217">
        <v>95.8</v>
      </c>
    </row>
    <row r="218" spans="1:9" x14ac:dyDescent="0.35">
      <c r="A218" t="s">
        <v>17</v>
      </c>
      <c r="B218" t="s">
        <v>18</v>
      </c>
      <c r="C218" s="2">
        <v>46074</v>
      </c>
      <c r="D218">
        <v>128.4</v>
      </c>
      <c r="E218">
        <v>33.799999999999997</v>
      </c>
      <c r="F218">
        <v>2.6</v>
      </c>
      <c r="G218">
        <v>6</v>
      </c>
      <c r="H218">
        <v>40.9</v>
      </c>
      <c r="I218">
        <v>86.8</v>
      </c>
    </row>
    <row r="219" spans="1:9" x14ac:dyDescent="0.35">
      <c r="A219" t="s">
        <v>35</v>
      </c>
      <c r="B219" t="s">
        <v>36</v>
      </c>
      <c r="C219" s="2">
        <v>46054</v>
      </c>
      <c r="D219">
        <v>132.1</v>
      </c>
      <c r="E219">
        <v>45</v>
      </c>
      <c r="F219">
        <v>4.3</v>
      </c>
      <c r="G219">
        <v>7</v>
      </c>
      <c r="H219">
        <v>41.2</v>
      </c>
      <c r="I219">
        <v>98</v>
      </c>
    </row>
    <row r="220" spans="1:9" x14ac:dyDescent="0.35">
      <c r="A220" t="s">
        <v>37</v>
      </c>
      <c r="B220" t="s">
        <v>38</v>
      </c>
      <c r="C220" s="2">
        <v>46064</v>
      </c>
      <c r="D220">
        <v>425.5</v>
      </c>
      <c r="E220">
        <v>89.6</v>
      </c>
      <c r="F220">
        <v>1</v>
      </c>
      <c r="G220">
        <v>3</v>
      </c>
      <c r="H220">
        <v>52.4</v>
      </c>
      <c r="I220">
        <v>92.7</v>
      </c>
    </row>
    <row r="221" spans="1:9" x14ac:dyDescent="0.35">
      <c r="A221" t="s">
        <v>43</v>
      </c>
      <c r="B221" t="s">
        <v>44</v>
      </c>
      <c r="C221" s="2">
        <v>46062</v>
      </c>
      <c r="D221">
        <v>264</v>
      </c>
      <c r="E221">
        <v>86.8</v>
      </c>
      <c r="F221">
        <v>1.9</v>
      </c>
      <c r="G221">
        <v>8</v>
      </c>
      <c r="H221">
        <v>73.5</v>
      </c>
      <c r="I221">
        <v>88.2</v>
      </c>
    </row>
    <row r="222" spans="1:9" x14ac:dyDescent="0.35">
      <c r="A222" t="s">
        <v>17</v>
      </c>
      <c r="B222" t="s">
        <v>18</v>
      </c>
      <c r="C222" s="2">
        <v>46029</v>
      </c>
      <c r="D222">
        <v>98.7</v>
      </c>
      <c r="E222">
        <v>23.9</v>
      </c>
      <c r="F222">
        <v>4</v>
      </c>
      <c r="G222">
        <v>8</v>
      </c>
      <c r="H222">
        <v>42.9</v>
      </c>
      <c r="I222">
        <v>85.1</v>
      </c>
    </row>
    <row r="223" spans="1:9" x14ac:dyDescent="0.35">
      <c r="A223" t="s">
        <v>9</v>
      </c>
      <c r="B223" t="s">
        <v>10</v>
      </c>
      <c r="C223" s="2">
        <v>46078</v>
      </c>
      <c r="D223">
        <v>129.6</v>
      </c>
      <c r="E223">
        <v>36.9</v>
      </c>
      <c r="F223">
        <v>1.8</v>
      </c>
      <c r="G223">
        <v>7</v>
      </c>
      <c r="H223">
        <v>46.5</v>
      </c>
      <c r="I223">
        <v>91</v>
      </c>
    </row>
    <row r="224" spans="1:9" x14ac:dyDescent="0.35">
      <c r="A224" t="s">
        <v>41</v>
      </c>
      <c r="B224" t="s">
        <v>42</v>
      </c>
      <c r="C224" s="2">
        <v>46094</v>
      </c>
      <c r="D224">
        <v>152</v>
      </c>
      <c r="E224">
        <v>35.4</v>
      </c>
      <c r="F224">
        <v>0.5</v>
      </c>
      <c r="G224">
        <v>8</v>
      </c>
      <c r="H224">
        <v>64.400000000000006</v>
      </c>
      <c r="I224">
        <v>89.2</v>
      </c>
    </row>
    <row r="225" spans="1:9" x14ac:dyDescent="0.35">
      <c r="A225" t="s">
        <v>45</v>
      </c>
      <c r="B225" t="s">
        <v>46</v>
      </c>
      <c r="C225" s="2">
        <v>46110</v>
      </c>
      <c r="D225">
        <v>306.10000000000002</v>
      </c>
      <c r="E225">
        <v>97.3</v>
      </c>
      <c r="F225">
        <v>0.6</v>
      </c>
      <c r="G225">
        <v>6</v>
      </c>
      <c r="H225">
        <v>65.8</v>
      </c>
      <c r="I225">
        <v>90.1</v>
      </c>
    </row>
    <row r="226" spans="1:9" x14ac:dyDescent="0.35">
      <c r="A226" t="s">
        <v>17</v>
      </c>
      <c r="B226" t="s">
        <v>18</v>
      </c>
      <c r="C226" s="2">
        <v>46041</v>
      </c>
      <c r="D226">
        <v>153.69999999999999</v>
      </c>
      <c r="E226">
        <v>36.799999999999997</v>
      </c>
      <c r="F226">
        <v>2.4</v>
      </c>
      <c r="G226">
        <v>1</v>
      </c>
      <c r="H226">
        <v>31.8</v>
      </c>
      <c r="I226">
        <v>95.7</v>
      </c>
    </row>
    <row r="227" spans="1:9" x14ac:dyDescent="0.35">
      <c r="A227" t="s">
        <v>43</v>
      </c>
      <c r="B227" t="s">
        <v>44</v>
      </c>
      <c r="C227" s="2">
        <v>46089</v>
      </c>
      <c r="D227">
        <v>249.1</v>
      </c>
      <c r="E227">
        <v>56.1</v>
      </c>
      <c r="F227">
        <v>2.4</v>
      </c>
      <c r="G227">
        <v>6</v>
      </c>
      <c r="H227">
        <v>71.900000000000006</v>
      </c>
      <c r="I227">
        <v>89.8</v>
      </c>
    </row>
    <row r="228" spans="1:9" x14ac:dyDescent="0.35">
      <c r="A228" t="s">
        <v>39</v>
      </c>
      <c r="B228" t="s">
        <v>40</v>
      </c>
      <c r="C228" s="2">
        <v>46101</v>
      </c>
      <c r="D228">
        <v>353.5</v>
      </c>
      <c r="E228">
        <v>98</v>
      </c>
      <c r="F228">
        <v>1.6</v>
      </c>
      <c r="G228">
        <v>8</v>
      </c>
      <c r="H228">
        <v>61.9</v>
      </c>
      <c r="I228">
        <v>89.5</v>
      </c>
    </row>
    <row r="229" spans="1:9" x14ac:dyDescent="0.35">
      <c r="A229" t="s">
        <v>27</v>
      </c>
      <c r="B229" t="s">
        <v>28</v>
      </c>
      <c r="C229" s="2">
        <v>46070</v>
      </c>
      <c r="D229">
        <v>202.6</v>
      </c>
      <c r="E229">
        <v>65.400000000000006</v>
      </c>
      <c r="F229">
        <v>2</v>
      </c>
      <c r="G229">
        <v>5</v>
      </c>
      <c r="H229">
        <v>65.900000000000006</v>
      </c>
      <c r="I229">
        <v>95.9</v>
      </c>
    </row>
    <row r="230" spans="1:9" x14ac:dyDescent="0.35">
      <c r="A230" t="s">
        <v>27</v>
      </c>
      <c r="B230" t="s">
        <v>28</v>
      </c>
      <c r="C230" s="2">
        <v>46099</v>
      </c>
      <c r="D230">
        <v>255.6</v>
      </c>
      <c r="E230">
        <v>47.2</v>
      </c>
      <c r="F230">
        <v>3.6</v>
      </c>
      <c r="G230">
        <v>4</v>
      </c>
      <c r="H230">
        <v>62.5</v>
      </c>
      <c r="I230">
        <v>93.8</v>
      </c>
    </row>
    <row r="231" spans="1:9" x14ac:dyDescent="0.35">
      <c r="A231" t="s">
        <v>37</v>
      </c>
      <c r="B231" t="s">
        <v>38</v>
      </c>
      <c r="C231" s="2">
        <v>46090</v>
      </c>
      <c r="D231">
        <v>312.7</v>
      </c>
      <c r="E231">
        <v>69.900000000000006</v>
      </c>
      <c r="F231">
        <v>3.8</v>
      </c>
      <c r="G231">
        <v>3</v>
      </c>
      <c r="H231">
        <v>67</v>
      </c>
      <c r="I231">
        <v>88.6</v>
      </c>
    </row>
    <row r="232" spans="1:9" x14ac:dyDescent="0.35">
      <c r="A232" t="s">
        <v>41</v>
      </c>
      <c r="B232" t="s">
        <v>42</v>
      </c>
      <c r="C232" s="2">
        <v>46112</v>
      </c>
      <c r="D232">
        <v>120.7</v>
      </c>
      <c r="E232">
        <v>42.3</v>
      </c>
      <c r="F232">
        <v>1.5</v>
      </c>
      <c r="G232">
        <v>3</v>
      </c>
      <c r="H232">
        <v>48.6</v>
      </c>
      <c r="I232">
        <v>88.1</v>
      </c>
    </row>
    <row r="233" spans="1:9" x14ac:dyDescent="0.35">
      <c r="A233" t="s">
        <v>31</v>
      </c>
      <c r="B233" t="s">
        <v>32</v>
      </c>
      <c r="C233" s="2">
        <v>46101</v>
      </c>
      <c r="D233">
        <v>420.6</v>
      </c>
      <c r="E233">
        <v>81.599999999999994</v>
      </c>
      <c r="F233">
        <v>3.4</v>
      </c>
      <c r="G233">
        <v>1</v>
      </c>
      <c r="H233">
        <v>61.8</v>
      </c>
      <c r="I233">
        <v>92.8</v>
      </c>
    </row>
    <row r="234" spans="1:9" x14ac:dyDescent="0.35">
      <c r="A234" t="s">
        <v>13</v>
      </c>
      <c r="B234" t="s">
        <v>14</v>
      </c>
      <c r="C234" s="2">
        <v>46064</v>
      </c>
      <c r="D234">
        <v>449.3</v>
      </c>
      <c r="E234">
        <v>109.8</v>
      </c>
      <c r="F234">
        <v>1.8</v>
      </c>
      <c r="G234">
        <v>3</v>
      </c>
      <c r="H234">
        <v>50.7</v>
      </c>
      <c r="I234">
        <v>93</v>
      </c>
    </row>
    <row r="235" spans="1:9" x14ac:dyDescent="0.35">
      <c r="A235" t="s">
        <v>13</v>
      </c>
      <c r="B235" t="s">
        <v>14</v>
      </c>
      <c r="C235" s="2">
        <v>46068</v>
      </c>
      <c r="D235">
        <v>330.1</v>
      </c>
      <c r="E235">
        <v>64.2</v>
      </c>
      <c r="F235">
        <v>3.1</v>
      </c>
      <c r="G235">
        <v>5</v>
      </c>
      <c r="H235">
        <v>57.5</v>
      </c>
      <c r="I235">
        <v>87.9</v>
      </c>
    </row>
    <row r="236" spans="1:9" x14ac:dyDescent="0.35">
      <c r="A236" t="s">
        <v>19</v>
      </c>
      <c r="B236" t="s">
        <v>20</v>
      </c>
      <c r="C236" s="2">
        <v>46058</v>
      </c>
      <c r="D236">
        <v>286.5</v>
      </c>
      <c r="E236">
        <v>84.1</v>
      </c>
      <c r="F236">
        <v>4.4000000000000004</v>
      </c>
      <c r="G236">
        <v>5</v>
      </c>
      <c r="H236">
        <v>64.7</v>
      </c>
      <c r="I236">
        <v>95.6</v>
      </c>
    </row>
    <row r="237" spans="1:9" x14ac:dyDescent="0.35">
      <c r="A237" t="s">
        <v>43</v>
      </c>
      <c r="B237" t="s">
        <v>44</v>
      </c>
      <c r="C237" s="2">
        <v>46063</v>
      </c>
      <c r="D237">
        <v>257.5</v>
      </c>
      <c r="E237">
        <v>59.7</v>
      </c>
      <c r="F237">
        <v>4.2</v>
      </c>
      <c r="G237">
        <v>5</v>
      </c>
      <c r="H237">
        <v>43</v>
      </c>
      <c r="I237">
        <v>93.6</v>
      </c>
    </row>
    <row r="238" spans="1:9" x14ac:dyDescent="0.35">
      <c r="A238" t="s">
        <v>13</v>
      </c>
      <c r="B238" t="s">
        <v>14</v>
      </c>
      <c r="C238" s="2">
        <v>46071</v>
      </c>
      <c r="D238">
        <v>411.4</v>
      </c>
      <c r="E238">
        <v>106.4</v>
      </c>
      <c r="F238">
        <v>1.7</v>
      </c>
      <c r="G238">
        <v>3</v>
      </c>
      <c r="H238">
        <v>43.1</v>
      </c>
      <c r="I238">
        <v>89.3</v>
      </c>
    </row>
    <row r="239" spans="1:9" x14ac:dyDescent="0.35">
      <c r="A239" t="s">
        <v>11</v>
      </c>
      <c r="B239" t="s">
        <v>12</v>
      </c>
      <c r="C239" s="2">
        <v>46067</v>
      </c>
      <c r="D239">
        <v>421.9</v>
      </c>
      <c r="E239">
        <v>92.3</v>
      </c>
      <c r="F239">
        <v>3.4</v>
      </c>
      <c r="G239">
        <v>4</v>
      </c>
      <c r="H239">
        <v>39.1</v>
      </c>
      <c r="I239">
        <v>93.1</v>
      </c>
    </row>
    <row r="240" spans="1:9" x14ac:dyDescent="0.35">
      <c r="A240" t="s">
        <v>13</v>
      </c>
      <c r="B240" t="s">
        <v>14</v>
      </c>
      <c r="C240" s="2">
        <v>46112</v>
      </c>
      <c r="D240">
        <v>180.5</v>
      </c>
      <c r="E240">
        <v>58.3</v>
      </c>
      <c r="F240">
        <v>3.4</v>
      </c>
      <c r="G240">
        <v>4</v>
      </c>
      <c r="H240">
        <v>40.9</v>
      </c>
      <c r="I240">
        <v>95</v>
      </c>
    </row>
    <row r="241" spans="1:9" x14ac:dyDescent="0.35">
      <c r="A241" t="s">
        <v>31</v>
      </c>
      <c r="B241" t="s">
        <v>32</v>
      </c>
      <c r="C241" s="2">
        <v>46051</v>
      </c>
      <c r="D241">
        <v>316</v>
      </c>
      <c r="E241">
        <v>107.4</v>
      </c>
      <c r="F241">
        <v>2</v>
      </c>
      <c r="G241">
        <v>8</v>
      </c>
      <c r="H241">
        <v>34.5</v>
      </c>
      <c r="I241">
        <v>96.6</v>
      </c>
    </row>
    <row r="242" spans="1:9" x14ac:dyDescent="0.35">
      <c r="A242" t="s">
        <v>27</v>
      </c>
      <c r="B242" t="s">
        <v>28</v>
      </c>
      <c r="C242" s="2">
        <v>46093</v>
      </c>
      <c r="D242">
        <v>441.8</v>
      </c>
      <c r="E242">
        <v>136.9</v>
      </c>
      <c r="F242">
        <v>3</v>
      </c>
      <c r="G242">
        <v>8</v>
      </c>
      <c r="H242">
        <v>51.5</v>
      </c>
      <c r="I242">
        <v>88</v>
      </c>
    </row>
    <row r="243" spans="1:9" x14ac:dyDescent="0.35">
      <c r="A243" t="s">
        <v>29</v>
      </c>
      <c r="B243" t="s">
        <v>30</v>
      </c>
      <c r="C243" s="2">
        <v>46064</v>
      </c>
      <c r="D243">
        <v>185.6</v>
      </c>
      <c r="E243">
        <v>62.7</v>
      </c>
      <c r="F243">
        <v>3.5</v>
      </c>
      <c r="G243">
        <v>4</v>
      </c>
      <c r="H243">
        <v>54.1</v>
      </c>
      <c r="I243">
        <v>95.8</v>
      </c>
    </row>
    <row r="244" spans="1:9" x14ac:dyDescent="0.35">
      <c r="A244" t="s">
        <v>21</v>
      </c>
      <c r="B244" t="s">
        <v>22</v>
      </c>
      <c r="C244" s="2">
        <v>46045</v>
      </c>
      <c r="D244">
        <v>234.6</v>
      </c>
      <c r="E244">
        <v>46.3</v>
      </c>
      <c r="F244">
        <v>4.2</v>
      </c>
      <c r="G244">
        <v>1</v>
      </c>
      <c r="H244">
        <v>74.900000000000006</v>
      </c>
      <c r="I244">
        <v>91</v>
      </c>
    </row>
    <row r="245" spans="1:9" x14ac:dyDescent="0.35">
      <c r="A245" t="s">
        <v>43</v>
      </c>
      <c r="B245" t="s">
        <v>44</v>
      </c>
      <c r="C245" s="2">
        <v>46046</v>
      </c>
      <c r="D245">
        <v>426.5</v>
      </c>
      <c r="E245">
        <v>79</v>
      </c>
      <c r="F245">
        <v>4.2</v>
      </c>
      <c r="G245">
        <v>1</v>
      </c>
      <c r="H245">
        <v>30.4</v>
      </c>
      <c r="I245">
        <v>93.5</v>
      </c>
    </row>
    <row r="246" spans="1:9" x14ac:dyDescent="0.35">
      <c r="A246" t="s">
        <v>9</v>
      </c>
      <c r="B246" t="s">
        <v>10</v>
      </c>
      <c r="C246" s="2">
        <v>46065</v>
      </c>
      <c r="D246">
        <v>185.3</v>
      </c>
      <c r="E246">
        <v>33.9</v>
      </c>
      <c r="F246">
        <v>2.5</v>
      </c>
      <c r="G246">
        <v>8</v>
      </c>
      <c r="H246">
        <v>70</v>
      </c>
      <c r="I246">
        <v>87</v>
      </c>
    </row>
    <row r="247" spans="1:9" x14ac:dyDescent="0.35">
      <c r="A247" t="s">
        <v>31</v>
      </c>
      <c r="B247" t="s">
        <v>32</v>
      </c>
      <c r="C247" s="2">
        <v>46082</v>
      </c>
      <c r="D247">
        <v>180.9</v>
      </c>
      <c r="E247">
        <v>36.299999999999997</v>
      </c>
      <c r="F247">
        <v>1.6</v>
      </c>
      <c r="G247">
        <v>8</v>
      </c>
      <c r="H247">
        <v>59.2</v>
      </c>
      <c r="I247">
        <v>95.8</v>
      </c>
    </row>
    <row r="248" spans="1:9" x14ac:dyDescent="0.35">
      <c r="A248" t="s">
        <v>27</v>
      </c>
      <c r="B248" t="s">
        <v>28</v>
      </c>
      <c r="C248" s="2">
        <v>46066</v>
      </c>
      <c r="D248">
        <v>372.6</v>
      </c>
      <c r="E248">
        <v>86</v>
      </c>
      <c r="F248">
        <v>3.5</v>
      </c>
      <c r="G248">
        <v>3</v>
      </c>
      <c r="H248">
        <v>57.5</v>
      </c>
      <c r="I248">
        <v>94.6</v>
      </c>
    </row>
    <row r="249" spans="1:9" x14ac:dyDescent="0.35">
      <c r="A249" t="s">
        <v>39</v>
      </c>
      <c r="B249" t="s">
        <v>40</v>
      </c>
      <c r="C249" s="2">
        <v>46077</v>
      </c>
      <c r="D249">
        <v>270.7</v>
      </c>
      <c r="E249">
        <v>89.2</v>
      </c>
      <c r="F249">
        <v>3.1</v>
      </c>
      <c r="G249">
        <v>3</v>
      </c>
      <c r="H249">
        <v>74.2</v>
      </c>
      <c r="I249">
        <v>92.2</v>
      </c>
    </row>
    <row r="250" spans="1:9" x14ac:dyDescent="0.35">
      <c r="A250" t="s">
        <v>19</v>
      </c>
      <c r="B250" t="s">
        <v>20</v>
      </c>
      <c r="C250" s="2">
        <v>46023</v>
      </c>
      <c r="D250">
        <v>176.5</v>
      </c>
      <c r="E250">
        <v>51.4</v>
      </c>
      <c r="F250">
        <v>3.4</v>
      </c>
      <c r="G250">
        <v>6</v>
      </c>
      <c r="H250">
        <v>43.6</v>
      </c>
      <c r="I250">
        <v>95.8</v>
      </c>
    </row>
    <row r="251" spans="1:9" x14ac:dyDescent="0.35">
      <c r="A251" t="s">
        <v>27</v>
      </c>
      <c r="B251" t="s">
        <v>28</v>
      </c>
      <c r="C251" s="2">
        <v>46056</v>
      </c>
      <c r="D251">
        <v>321.89999999999998</v>
      </c>
      <c r="E251">
        <v>68.900000000000006</v>
      </c>
      <c r="F251">
        <v>0.5</v>
      </c>
      <c r="G251">
        <v>2</v>
      </c>
      <c r="H251">
        <v>50.9</v>
      </c>
      <c r="I251">
        <v>87.4</v>
      </c>
    </row>
    <row r="252" spans="1:9" x14ac:dyDescent="0.35">
      <c r="A252" t="s">
        <v>31</v>
      </c>
      <c r="B252" t="s">
        <v>32</v>
      </c>
      <c r="C252" s="2">
        <v>46062</v>
      </c>
      <c r="D252">
        <v>335.4</v>
      </c>
      <c r="E252">
        <v>74.099999999999994</v>
      </c>
      <c r="F252">
        <v>4.2</v>
      </c>
      <c r="G252">
        <v>6</v>
      </c>
      <c r="H252">
        <v>57.7</v>
      </c>
      <c r="I252">
        <v>88.3</v>
      </c>
    </row>
    <row r="253" spans="1:9" x14ac:dyDescent="0.35">
      <c r="A253" t="s">
        <v>25</v>
      </c>
      <c r="B253" t="s">
        <v>26</v>
      </c>
      <c r="C253" s="2">
        <v>46084</v>
      </c>
      <c r="D253">
        <v>136.69999999999999</v>
      </c>
      <c r="E253">
        <v>28.4</v>
      </c>
      <c r="F253">
        <v>2.8</v>
      </c>
      <c r="G253">
        <v>7</v>
      </c>
      <c r="H253">
        <v>61.6</v>
      </c>
      <c r="I253">
        <v>98.7</v>
      </c>
    </row>
    <row r="254" spans="1:9" x14ac:dyDescent="0.35">
      <c r="A254" t="s">
        <v>13</v>
      </c>
      <c r="B254" t="s">
        <v>14</v>
      </c>
      <c r="C254" s="2">
        <v>46108</v>
      </c>
      <c r="D254">
        <v>385.5</v>
      </c>
      <c r="E254">
        <v>79.400000000000006</v>
      </c>
      <c r="F254">
        <v>3.1</v>
      </c>
      <c r="G254">
        <v>2</v>
      </c>
      <c r="H254">
        <v>53.6</v>
      </c>
      <c r="I254">
        <v>92.9</v>
      </c>
    </row>
    <row r="255" spans="1:9" x14ac:dyDescent="0.35">
      <c r="A255" t="s">
        <v>17</v>
      </c>
      <c r="B255" t="s">
        <v>18</v>
      </c>
      <c r="C255" s="2">
        <v>46032</v>
      </c>
      <c r="D255">
        <v>419.4</v>
      </c>
      <c r="E255">
        <v>135.19999999999999</v>
      </c>
      <c r="F255">
        <v>3.8</v>
      </c>
      <c r="G255">
        <v>4</v>
      </c>
      <c r="H255">
        <v>55.8</v>
      </c>
      <c r="I255">
        <v>87.2</v>
      </c>
    </row>
    <row r="256" spans="1:9" x14ac:dyDescent="0.35">
      <c r="A256" t="s">
        <v>23</v>
      </c>
      <c r="B256" t="s">
        <v>24</v>
      </c>
      <c r="C256" s="2">
        <v>46089</v>
      </c>
      <c r="D256">
        <v>243.5</v>
      </c>
      <c r="E256">
        <v>52.5</v>
      </c>
      <c r="F256">
        <v>3.3</v>
      </c>
      <c r="G256">
        <v>8</v>
      </c>
      <c r="H256">
        <v>34.1</v>
      </c>
      <c r="I256">
        <v>92.7</v>
      </c>
    </row>
    <row r="257" spans="1:9" x14ac:dyDescent="0.35">
      <c r="A257" t="s">
        <v>21</v>
      </c>
      <c r="B257" t="s">
        <v>22</v>
      </c>
      <c r="C257" s="2">
        <v>46081</v>
      </c>
      <c r="D257">
        <v>128.80000000000001</v>
      </c>
      <c r="E257">
        <v>32.799999999999997</v>
      </c>
      <c r="F257">
        <v>2.6</v>
      </c>
      <c r="G257">
        <v>8</v>
      </c>
      <c r="H257">
        <v>60.3</v>
      </c>
      <c r="I257">
        <v>89.6</v>
      </c>
    </row>
    <row r="258" spans="1:9" x14ac:dyDescent="0.35">
      <c r="A258" t="s">
        <v>27</v>
      </c>
      <c r="B258" t="s">
        <v>28</v>
      </c>
      <c r="C258" s="2">
        <v>46073</v>
      </c>
      <c r="D258">
        <v>174.1</v>
      </c>
      <c r="E258">
        <v>62</v>
      </c>
      <c r="F258">
        <v>1.1000000000000001</v>
      </c>
      <c r="G258">
        <v>2</v>
      </c>
      <c r="H258">
        <v>32</v>
      </c>
      <c r="I258">
        <v>90.2</v>
      </c>
    </row>
    <row r="259" spans="1:9" x14ac:dyDescent="0.35">
      <c r="A259" t="s">
        <v>11</v>
      </c>
      <c r="B259" t="s">
        <v>12</v>
      </c>
      <c r="C259" s="2">
        <v>46092</v>
      </c>
      <c r="D259">
        <v>447.8</v>
      </c>
      <c r="E259">
        <v>84.1</v>
      </c>
      <c r="F259">
        <v>0.5</v>
      </c>
      <c r="G259">
        <v>8</v>
      </c>
      <c r="H259">
        <v>31.4</v>
      </c>
      <c r="I259">
        <v>91.1</v>
      </c>
    </row>
    <row r="260" spans="1:9" x14ac:dyDescent="0.35">
      <c r="A260" t="s">
        <v>25</v>
      </c>
      <c r="B260" t="s">
        <v>26</v>
      </c>
      <c r="C260" s="2">
        <v>46105</v>
      </c>
      <c r="D260">
        <v>442</v>
      </c>
      <c r="E260">
        <v>97.3</v>
      </c>
      <c r="F260">
        <v>2</v>
      </c>
      <c r="G260">
        <v>7</v>
      </c>
      <c r="H260">
        <v>50.2</v>
      </c>
      <c r="I260">
        <v>98.8</v>
      </c>
    </row>
    <row r="261" spans="1:9" x14ac:dyDescent="0.35">
      <c r="A261" t="s">
        <v>39</v>
      </c>
      <c r="B261" t="s">
        <v>40</v>
      </c>
      <c r="C261" s="2">
        <v>46071</v>
      </c>
      <c r="D261">
        <v>109.7</v>
      </c>
      <c r="E261">
        <v>20.3</v>
      </c>
      <c r="F261">
        <v>4</v>
      </c>
      <c r="G261">
        <v>3</v>
      </c>
      <c r="H261">
        <v>59.4</v>
      </c>
      <c r="I261">
        <v>90.2</v>
      </c>
    </row>
    <row r="262" spans="1:9" x14ac:dyDescent="0.35">
      <c r="A262" t="s">
        <v>37</v>
      </c>
      <c r="B262" t="s">
        <v>38</v>
      </c>
      <c r="C262" s="2">
        <v>46091</v>
      </c>
      <c r="D262">
        <v>225.4</v>
      </c>
      <c r="E262">
        <v>71.7</v>
      </c>
      <c r="F262">
        <v>4.4000000000000004</v>
      </c>
      <c r="G262">
        <v>1</v>
      </c>
      <c r="H262">
        <v>64</v>
      </c>
      <c r="I262">
        <v>99.7</v>
      </c>
    </row>
    <row r="263" spans="1:9" x14ac:dyDescent="0.35">
      <c r="A263" t="s">
        <v>35</v>
      </c>
      <c r="B263" t="s">
        <v>36</v>
      </c>
      <c r="C263" s="2">
        <v>46109</v>
      </c>
      <c r="D263">
        <v>346.1</v>
      </c>
      <c r="E263">
        <v>87.7</v>
      </c>
      <c r="F263">
        <v>1.8</v>
      </c>
      <c r="G263">
        <v>4</v>
      </c>
      <c r="H263">
        <v>41.1</v>
      </c>
      <c r="I263">
        <v>90.2</v>
      </c>
    </row>
    <row r="264" spans="1:9" x14ac:dyDescent="0.35">
      <c r="A264" t="s">
        <v>47</v>
      </c>
      <c r="B264" t="s">
        <v>48</v>
      </c>
      <c r="C264" s="2">
        <v>46047</v>
      </c>
      <c r="D264">
        <v>426.8</v>
      </c>
      <c r="E264">
        <v>89.7</v>
      </c>
      <c r="F264">
        <v>0.7</v>
      </c>
      <c r="G264">
        <v>7</v>
      </c>
      <c r="H264">
        <v>57.7</v>
      </c>
      <c r="I264">
        <v>99</v>
      </c>
    </row>
    <row r="265" spans="1:9" x14ac:dyDescent="0.35">
      <c r="A265" t="s">
        <v>27</v>
      </c>
      <c r="B265" t="s">
        <v>28</v>
      </c>
      <c r="C265" s="2">
        <v>46053</v>
      </c>
      <c r="D265">
        <v>156.30000000000001</v>
      </c>
      <c r="E265">
        <v>50.9</v>
      </c>
      <c r="F265">
        <v>0.3</v>
      </c>
      <c r="G265">
        <v>1</v>
      </c>
      <c r="H265">
        <v>41</v>
      </c>
      <c r="I265">
        <v>85.7</v>
      </c>
    </row>
    <row r="266" spans="1:9" x14ac:dyDescent="0.35">
      <c r="A266" t="s">
        <v>35</v>
      </c>
      <c r="B266" t="s">
        <v>36</v>
      </c>
      <c r="C266" s="2">
        <v>46052</v>
      </c>
      <c r="D266">
        <v>279.7</v>
      </c>
      <c r="E266">
        <v>57.8</v>
      </c>
      <c r="F266">
        <v>3.5</v>
      </c>
      <c r="G266">
        <v>3</v>
      </c>
      <c r="H266">
        <v>52.7</v>
      </c>
      <c r="I266">
        <v>89.3</v>
      </c>
    </row>
    <row r="267" spans="1:9" x14ac:dyDescent="0.35">
      <c r="A267" t="s">
        <v>41</v>
      </c>
      <c r="B267" t="s">
        <v>42</v>
      </c>
      <c r="C267" s="2">
        <v>46063</v>
      </c>
      <c r="D267">
        <v>293.7</v>
      </c>
      <c r="E267">
        <v>60.1</v>
      </c>
      <c r="F267">
        <v>3.7</v>
      </c>
      <c r="G267">
        <v>4</v>
      </c>
      <c r="H267">
        <v>43.6</v>
      </c>
      <c r="I267">
        <v>87.1</v>
      </c>
    </row>
    <row r="268" spans="1:9" x14ac:dyDescent="0.35">
      <c r="A268" t="s">
        <v>31</v>
      </c>
      <c r="B268" t="s">
        <v>32</v>
      </c>
      <c r="C268" s="2">
        <v>46051</v>
      </c>
      <c r="D268">
        <v>233</v>
      </c>
      <c r="E268">
        <v>65.8</v>
      </c>
      <c r="F268">
        <v>2.6</v>
      </c>
      <c r="G268">
        <v>3</v>
      </c>
      <c r="H268">
        <v>58.2</v>
      </c>
      <c r="I268">
        <v>91.4</v>
      </c>
    </row>
    <row r="269" spans="1:9" x14ac:dyDescent="0.35">
      <c r="A269" t="s">
        <v>43</v>
      </c>
      <c r="B269" t="s">
        <v>44</v>
      </c>
      <c r="C269" s="2">
        <v>46029</v>
      </c>
      <c r="D269">
        <v>439.7</v>
      </c>
      <c r="E269">
        <v>82.3</v>
      </c>
      <c r="F269">
        <v>3.1</v>
      </c>
      <c r="G269">
        <v>6</v>
      </c>
      <c r="H269">
        <v>61.3</v>
      </c>
      <c r="I269">
        <v>91.1</v>
      </c>
    </row>
    <row r="270" spans="1:9" x14ac:dyDescent="0.35">
      <c r="A270" t="s">
        <v>29</v>
      </c>
      <c r="B270" t="s">
        <v>30</v>
      </c>
      <c r="C270" s="2">
        <v>46071</v>
      </c>
      <c r="D270">
        <v>148</v>
      </c>
      <c r="E270">
        <v>34.799999999999997</v>
      </c>
      <c r="F270">
        <v>1.2</v>
      </c>
      <c r="G270">
        <v>4</v>
      </c>
      <c r="H270">
        <v>43.5</v>
      </c>
      <c r="I270">
        <v>95.6</v>
      </c>
    </row>
    <row r="271" spans="1:9" x14ac:dyDescent="0.35">
      <c r="A271" t="s">
        <v>35</v>
      </c>
      <c r="B271" t="s">
        <v>36</v>
      </c>
      <c r="C271" s="2">
        <v>46030</v>
      </c>
      <c r="D271">
        <v>288.10000000000002</v>
      </c>
      <c r="E271">
        <v>53.2</v>
      </c>
      <c r="F271">
        <v>2.6</v>
      </c>
      <c r="G271">
        <v>3</v>
      </c>
      <c r="H271">
        <v>47.5</v>
      </c>
      <c r="I271">
        <v>88.8</v>
      </c>
    </row>
    <row r="272" spans="1:9" x14ac:dyDescent="0.35">
      <c r="A272" t="s">
        <v>23</v>
      </c>
      <c r="B272" t="s">
        <v>24</v>
      </c>
      <c r="C272" s="2">
        <v>46105</v>
      </c>
      <c r="D272">
        <v>109.3</v>
      </c>
      <c r="E272">
        <v>27.2</v>
      </c>
      <c r="F272">
        <v>1.8</v>
      </c>
      <c r="G272">
        <v>4</v>
      </c>
      <c r="H272">
        <v>32.299999999999997</v>
      </c>
      <c r="I272">
        <v>90.7</v>
      </c>
    </row>
    <row r="273" spans="1:9" x14ac:dyDescent="0.35">
      <c r="A273" t="s">
        <v>45</v>
      </c>
      <c r="B273" t="s">
        <v>46</v>
      </c>
      <c r="C273" s="2">
        <v>46100</v>
      </c>
      <c r="D273">
        <v>94.6</v>
      </c>
      <c r="E273">
        <v>31.6</v>
      </c>
      <c r="F273">
        <v>3.7</v>
      </c>
      <c r="G273">
        <v>4</v>
      </c>
      <c r="H273">
        <v>51.6</v>
      </c>
      <c r="I273">
        <v>98</v>
      </c>
    </row>
    <row r="274" spans="1:9" x14ac:dyDescent="0.35">
      <c r="A274" t="s">
        <v>23</v>
      </c>
      <c r="B274" t="s">
        <v>24</v>
      </c>
      <c r="C274" s="2">
        <v>46061</v>
      </c>
      <c r="D274">
        <v>434.1</v>
      </c>
      <c r="E274">
        <v>152.80000000000001</v>
      </c>
      <c r="F274">
        <v>4.2</v>
      </c>
      <c r="G274">
        <v>2</v>
      </c>
      <c r="H274">
        <v>63.6</v>
      </c>
      <c r="I274">
        <v>96.3</v>
      </c>
    </row>
    <row r="275" spans="1:9" x14ac:dyDescent="0.35">
      <c r="A275" t="s">
        <v>19</v>
      </c>
      <c r="B275" t="s">
        <v>20</v>
      </c>
      <c r="C275" s="2">
        <v>46112</v>
      </c>
      <c r="D275">
        <v>303.60000000000002</v>
      </c>
      <c r="E275">
        <v>90.6</v>
      </c>
      <c r="F275">
        <v>4.0999999999999996</v>
      </c>
      <c r="G275">
        <v>6</v>
      </c>
      <c r="H275">
        <v>64.900000000000006</v>
      </c>
      <c r="I275">
        <v>90.7</v>
      </c>
    </row>
    <row r="276" spans="1:9" x14ac:dyDescent="0.35">
      <c r="A276" t="s">
        <v>13</v>
      </c>
      <c r="B276" t="s">
        <v>14</v>
      </c>
      <c r="C276" s="2">
        <v>46106</v>
      </c>
      <c r="D276">
        <v>212.9</v>
      </c>
      <c r="E276">
        <v>60.7</v>
      </c>
      <c r="F276">
        <v>2.4</v>
      </c>
      <c r="G276">
        <v>8</v>
      </c>
      <c r="H276">
        <v>51</v>
      </c>
      <c r="I276">
        <v>97</v>
      </c>
    </row>
    <row r="277" spans="1:9" x14ac:dyDescent="0.35">
      <c r="A277" t="s">
        <v>43</v>
      </c>
      <c r="B277" t="s">
        <v>44</v>
      </c>
      <c r="C277" s="2">
        <v>46063</v>
      </c>
      <c r="D277">
        <v>418.3</v>
      </c>
      <c r="E277">
        <v>110.1</v>
      </c>
      <c r="F277">
        <v>2</v>
      </c>
      <c r="G277">
        <v>4</v>
      </c>
      <c r="H277">
        <v>63.4</v>
      </c>
      <c r="I277">
        <v>85.2</v>
      </c>
    </row>
    <row r="278" spans="1:9" x14ac:dyDescent="0.35">
      <c r="A278" t="s">
        <v>13</v>
      </c>
      <c r="B278" t="s">
        <v>14</v>
      </c>
      <c r="C278" s="2">
        <v>46097</v>
      </c>
      <c r="D278">
        <v>294.3</v>
      </c>
      <c r="E278">
        <v>74.900000000000006</v>
      </c>
      <c r="F278">
        <v>0.9</v>
      </c>
      <c r="G278">
        <v>6</v>
      </c>
      <c r="H278">
        <v>40.4</v>
      </c>
      <c r="I278">
        <v>93.5</v>
      </c>
    </row>
    <row r="279" spans="1:9" x14ac:dyDescent="0.35">
      <c r="A279" t="s">
        <v>19</v>
      </c>
      <c r="B279" t="s">
        <v>20</v>
      </c>
      <c r="C279" s="2">
        <v>46086</v>
      </c>
      <c r="D279">
        <v>283.7</v>
      </c>
      <c r="E279">
        <v>53.1</v>
      </c>
      <c r="F279">
        <v>1.7</v>
      </c>
      <c r="G279">
        <v>8</v>
      </c>
      <c r="H279">
        <v>73.5</v>
      </c>
      <c r="I279">
        <v>94.6</v>
      </c>
    </row>
    <row r="280" spans="1:9" x14ac:dyDescent="0.35">
      <c r="A280" t="s">
        <v>43</v>
      </c>
      <c r="B280" t="s">
        <v>44</v>
      </c>
      <c r="C280" s="2">
        <v>46081</v>
      </c>
      <c r="D280">
        <v>142.19999999999999</v>
      </c>
      <c r="E280">
        <v>28.7</v>
      </c>
      <c r="F280">
        <v>0.9</v>
      </c>
      <c r="G280">
        <v>8</v>
      </c>
      <c r="H280">
        <v>38.299999999999997</v>
      </c>
      <c r="I280">
        <v>98.3</v>
      </c>
    </row>
    <row r="281" spans="1:9" x14ac:dyDescent="0.35">
      <c r="A281" t="s">
        <v>21</v>
      </c>
      <c r="B281" t="s">
        <v>22</v>
      </c>
      <c r="C281" s="2">
        <v>46090</v>
      </c>
      <c r="D281">
        <v>92.5</v>
      </c>
      <c r="E281">
        <v>18.2</v>
      </c>
      <c r="F281">
        <v>4.3</v>
      </c>
      <c r="G281">
        <v>1</v>
      </c>
      <c r="H281">
        <v>64.400000000000006</v>
      </c>
      <c r="I281">
        <v>91.2</v>
      </c>
    </row>
    <row r="282" spans="1:9" x14ac:dyDescent="0.35">
      <c r="A282" t="s">
        <v>19</v>
      </c>
      <c r="B282" t="s">
        <v>20</v>
      </c>
      <c r="C282" s="2">
        <v>46031</v>
      </c>
      <c r="D282">
        <v>341.7</v>
      </c>
      <c r="E282">
        <v>121</v>
      </c>
      <c r="F282">
        <v>2.4</v>
      </c>
      <c r="G282">
        <v>6</v>
      </c>
      <c r="H282">
        <v>32.700000000000003</v>
      </c>
      <c r="I282">
        <v>94.6</v>
      </c>
    </row>
    <row r="283" spans="1:9" x14ac:dyDescent="0.35">
      <c r="A283" t="s">
        <v>45</v>
      </c>
      <c r="B283" t="s">
        <v>46</v>
      </c>
      <c r="C283" s="2">
        <v>46084</v>
      </c>
      <c r="D283">
        <v>323.89999999999998</v>
      </c>
      <c r="E283">
        <v>113.9</v>
      </c>
      <c r="F283">
        <v>2.5</v>
      </c>
      <c r="G283">
        <v>7</v>
      </c>
      <c r="H283">
        <v>30.5</v>
      </c>
      <c r="I283">
        <v>92.9</v>
      </c>
    </row>
    <row r="284" spans="1:9" x14ac:dyDescent="0.35">
      <c r="A284" t="s">
        <v>47</v>
      </c>
      <c r="B284" t="s">
        <v>48</v>
      </c>
      <c r="C284" s="2">
        <v>46091</v>
      </c>
      <c r="D284">
        <v>441.7</v>
      </c>
      <c r="E284">
        <v>155.19999999999999</v>
      </c>
      <c r="F284">
        <v>3.7</v>
      </c>
      <c r="G284">
        <v>7</v>
      </c>
      <c r="H284">
        <v>66.3</v>
      </c>
      <c r="I284">
        <v>98.6</v>
      </c>
    </row>
    <row r="285" spans="1:9" x14ac:dyDescent="0.35">
      <c r="A285" t="s">
        <v>9</v>
      </c>
      <c r="B285" t="s">
        <v>10</v>
      </c>
      <c r="C285" s="2">
        <v>46035</v>
      </c>
      <c r="D285">
        <v>274</v>
      </c>
      <c r="E285">
        <v>79.400000000000006</v>
      </c>
      <c r="F285">
        <v>2.9</v>
      </c>
      <c r="G285">
        <v>5</v>
      </c>
      <c r="H285">
        <v>66.7</v>
      </c>
      <c r="I285">
        <v>89</v>
      </c>
    </row>
    <row r="286" spans="1:9" x14ac:dyDescent="0.35">
      <c r="A286" t="s">
        <v>39</v>
      </c>
      <c r="B286" t="s">
        <v>40</v>
      </c>
      <c r="C286" s="2">
        <v>46033</v>
      </c>
      <c r="D286">
        <v>218</v>
      </c>
      <c r="E286">
        <v>56</v>
      </c>
      <c r="F286">
        <v>2.6</v>
      </c>
      <c r="G286">
        <v>4</v>
      </c>
      <c r="H286">
        <v>43.5</v>
      </c>
      <c r="I286">
        <v>97.4</v>
      </c>
    </row>
    <row r="287" spans="1:9" x14ac:dyDescent="0.35">
      <c r="A287" t="s">
        <v>11</v>
      </c>
      <c r="B287" t="s">
        <v>12</v>
      </c>
      <c r="C287" s="2">
        <v>46106</v>
      </c>
      <c r="D287">
        <v>446.9</v>
      </c>
      <c r="E287">
        <v>98.1</v>
      </c>
      <c r="F287">
        <v>0.3</v>
      </c>
      <c r="G287">
        <v>7</v>
      </c>
      <c r="H287">
        <v>47.1</v>
      </c>
      <c r="I287">
        <v>93.3</v>
      </c>
    </row>
    <row r="288" spans="1:9" x14ac:dyDescent="0.35">
      <c r="A288" t="s">
        <v>21</v>
      </c>
      <c r="B288" t="s">
        <v>22</v>
      </c>
      <c r="C288" s="2">
        <v>46104</v>
      </c>
      <c r="D288">
        <v>83.5</v>
      </c>
      <c r="E288">
        <v>25.6</v>
      </c>
      <c r="F288">
        <v>2.2999999999999998</v>
      </c>
      <c r="G288">
        <v>7</v>
      </c>
      <c r="H288">
        <v>59</v>
      </c>
      <c r="I288">
        <v>90</v>
      </c>
    </row>
    <row r="289" spans="1:9" x14ac:dyDescent="0.35">
      <c r="A289" t="s">
        <v>9</v>
      </c>
      <c r="B289" t="s">
        <v>10</v>
      </c>
      <c r="C289" s="2">
        <v>46090</v>
      </c>
      <c r="D289">
        <v>420.1</v>
      </c>
      <c r="E289">
        <v>122.8</v>
      </c>
      <c r="F289">
        <v>4.0999999999999996</v>
      </c>
      <c r="G289">
        <v>8</v>
      </c>
      <c r="H289">
        <v>42.2</v>
      </c>
      <c r="I289">
        <v>98.9</v>
      </c>
    </row>
    <row r="290" spans="1:9" x14ac:dyDescent="0.35">
      <c r="A290" t="s">
        <v>47</v>
      </c>
      <c r="B290" t="s">
        <v>48</v>
      </c>
      <c r="C290" s="2">
        <v>46092</v>
      </c>
      <c r="D290">
        <v>288.5</v>
      </c>
      <c r="E290">
        <v>99.9</v>
      </c>
      <c r="F290">
        <v>4.2</v>
      </c>
      <c r="G290">
        <v>6</v>
      </c>
      <c r="H290">
        <v>30.7</v>
      </c>
      <c r="I290">
        <v>88.1</v>
      </c>
    </row>
    <row r="291" spans="1:9" x14ac:dyDescent="0.35">
      <c r="A291" t="s">
        <v>25</v>
      </c>
      <c r="B291" t="s">
        <v>26</v>
      </c>
      <c r="C291" s="2">
        <v>46073</v>
      </c>
      <c r="D291">
        <v>423.7</v>
      </c>
      <c r="E291">
        <v>117.4</v>
      </c>
      <c r="F291">
        <v>2.6</v>
      </c>
      <c r="G291">
        <v>7</v>
      </c>
      <c r="H291">
        <v>60.5</v>
      </c>
      <c r="I291">
        <v>93.1</v>
      </c>
    </row>
    <row r="292" spans="1:9" x14ac:dyDescent="0.35">
      <c r="A292" t="s">
        <v>39</v>
      </c>
      <c r="B292" t="s">
        <v>40</v>
      </c>
      <c r="C292" s="2">
        <v>46040</v>
      </c>
      <c r="D292">
        <v>372.5</v>
      </c>
      <c r="E292">
        <v>79.900000000000006</v>
      </c>
      <c r="F292">
        <v>0.5</v>
      </c>
      <c r="G292">
        <v>6</v>
      </c>
      <c r="H292">
        <v>32.4</v>
      </c>
      <c r="I292">
        <v>91.6</v>
      </c>
    </row>
    <row r="293" spans="1:9" x14ac:dyDescent="0.35">
      <c r="A293" t="s">
        <v>11</v>
      </c>
      <c r="B293" t="s">
        <v>12</v>
      </c>
      <c r="C293" s="2">
        <v>46066</v>
      </c>
      <c r="D293">
        <v>303.89999999999998</v>
      </c>
      <c r="E293">
        <v>68.2</v>
      </c>
      <c r="F293">
        <v>2.8</v>
      </c>
      <c r="G293">
        <v>6</v>
      </c>
      <c r="H293">
        <v>31.3</v>
      </c>
      <c r="I293">
        <v>89.1</v>
      </c>
    </row>
    <row r="294" spans="1:9" x14ac:dyDescent="0.35">
      <c r="A294" t="s">
        <v>35</v>
      </c>
      <c r="B294" t="s">
        <v>36</v>
      </c>
      <c r="C294" s="2">
        <v>46085</v>
      </c>
      <c r="D294">
        <v>164.4</v>
      </c>
      <c r="E294">
        <v>38.299999999999997</v>
      </c>
      <c r="F294">
        <v>1.8</v>
      </c>
      <c r="G294">
        <v>3</v>
      </c>
      <c r="H294">
        <v>60.6</v>
      </c>
      <c r="I294">
        <v>94.9</v>
      </c>
    </row>
    <row r="295" spans="1:9" x14ac:dyDescent="0.35">
      <c r="A295" t="s">
        <v>11</v>
      </c>
      <c r="B295" t="s">
        <v>12</v>
      </c>
      <c r="C295" s="2">
        <v>46102</v>
      </c>
      <c r="D295">
        <v>189.3</v>
      </c>
      <c r="E295">
        <v>54.6</v>
      </c>
      <c r="F295">
        <v>0.5</v>
      </c>
      <c r="G295">
        <v>5</v>
      </c>
      <c r="H295">
        <v>36.9</v>
      </c>
      <c r="I295">
        <v>95.7</v>
      </c>
    </row>
    <row r="296" spans="1:9" x14ac:dyDescent="0.35">
      <c r="A296" t="s">
        <v>25</v>
      </c>
      <c r="B296" t="s">
        <v>26</v>
      </c>
      <c r="C296" s="2">
        <v>46072</v>
      </c>
      <c r="D296">
        <v>197.2</v>
      </c>
      <c r="E296">
        <v>63.9</v>
      </c>
      <c r="F296">
        <v>0.2</v>
      </c>
      <c r="G296">
        <v>5</v>
      </c>
      <c r="H296">
        <v>50</v>
      </c>
      <c r="I296">
        <v>96.4</v>
      </c>
    </row>
    <row r="297" spans="1:9" x14ac:dyDescent="0.35">
      <c r="A297" t="s">
        <v>9</v>
      </c>
      <c r="B297" t="s">
        <v>10</v>
      </c>
      <c r="C297" s="2">
        <v>46039</v>
      </c>
      <c r="D297">
        <v>112.3</v>
      </c>
      <c r="E297">
        <v>28.3</v>
      </c>
      <c r="F297">
        <v>2.6</v>
      </c>
      <c r="G297">
        <v>7</v>
      </c>
      <c r="H297">
        <v>34.6</v>
      </c>
      <c r="I297">
        <v>86.3</v>
      </c>
    </row>
    <row r="298" spans="1:9" x14ac:dyDescent="0.35">
      <c r="A298" t="s">
        <v>13</v>
      </c>
      <c r="B298" t="s">
        <v>14</v>
      </c>
      <c r="C298" s="2">
        <v>46034</v>
      </c>
      <c r="D298">
        <v>300.89999999999998</v>
      </c>
      <c r="E298">
        <v>61.2</v>
      </c>
      <c r="F298">
        <v>3.9</v>
      </c>
      <c r="G298">
        <v>1</v>
      </c>
      <c r="H298">
        <v>43.1</v>
      </c>
      <c r="I298">
        <v>90.8</v>
      </c>
    </row>
    <row r="299" spans="1:9" x14ac:dyDescent="0.35">
      <c r="A299" t="s">
        <v>11</v>
      </c>
      <c r="B299" t="s">
        <v>12</v>
      </c>
      <c r="C299" s="2">
        <v>46094</v>
      </c>
      <c r="D299">
        <v>414.9</v>
      </c>
      <c r="E299">
        <v>76.3</v>
      </c>
      <c r="F299">
        <v>2.7</v>
      </c>
      <c r="G299">
        <v>3</v>
      </c>
      <c r="H299">
        <v>60.8</v>
      </c>
      <c r="I299">
        <v>87.5</v>
      </c>
    </row>
    <row r="300" spans="1:9" x14ac:dyDescent="0.35">
      <c r="A300" t="s">
        <v>47</v>
      </c>
      <c r="B300" t="s">
        <v>48</v>
      </c>
      <c r="C300" s="2">
        <v>46061</v>
      </c>
      <c r="D300">
        <v>179.3</v>
      </c>
      <c r="E300">
        <v>56.1</v>
      </c>
      <c r="F300">
        <v>0.9</v>
      </c>
      <c r="G300">
        <v>5</v>
      </c>
      <c r="H300">
        <v>48.9</v>
      </c>
      <c r="I300">
        <v>92.3</v>
      </c>
    </row>
    <row r="301" spans="1:9" x14ac:dyDescent="0.35">
      <c r="A301" t="s">
        <v>11</v>
      </c>
      <c r="B301" t="s">
        <v>12</v>
      </c>
      <c r="C301" s="2">
        <v>46069</v>
      </c>
      <c r="D301">
        <v>173.1</v>
      </c>
      <c r="E301">
        <v>49.9</v>
      </c>
      <c r="F301">
        <v>2.9</v>
      </c>
      <c r="G301">
        <v>4</v>
      </c>
      <c r="H301">
        <v>50.6</v>
      </c>
      <c r="I301">
        <v>87</v>
      </c>
    </row>
    <row r="302" spans="1:9" x14ac:dyDescent="0.35">
      <c r="A302" t="s">
        <v>27</v>
      </c>
      <c r="B302" t="s">
        <v>28</v>
      </c>
      <c r="C302" s="2">
        <v>46073</v>
      </c>
      <c r="D302">
        <v>202.9</v>
      </c>
      <c r="E302">
        <v>45.3</v>
      </c>
      <c r="F302">
        <v>3.7</v>
      </c>
      <c r="G302">
        <v>6</v>
      </c>
      <c r="H302">
        <v>49.8</v>
      </c>
      <c r="I302">
        <v>91.5</v>
      </c>
    </row>
    <row r="303" spans="1:9" x14ac:dyDescent="0.35">
      <c r="A303" t="s">
        <v>45</v>
      </c>
      <c r="B303" t="s">
        <v>46</v>
      </c>
      <c r="C303" s="2">
        <v>46040</v>
      </c>
      <c r="D303">
        <v>191.2</v>
      </c>
      <c r="E303">
        <v>43.2</v>
      </c>
      <c r="F303">
        <v>3.2</v>
      </c>
      <c r="G303">
        <v>8</v>
      </c>
      <c r="H303">
        <v>44.1</v>
      </c>
      <c r="I303">
        <v>99.5</v>
      </c>
    </row>
    <row r="304" spans="1:9" x14ac:dyDescent="0.35">
      <c r="A304" t="s">
        <v>23</v>
      </c>
      <c r="B304" t="s">
        <v>24</v>
      </c>
      <c r="C304" s="2">
        <v>46060</v>
      </c>
      <c r="D304">
        <v>351.9</v>
      </c>
      <c r="E304">
        <v>78</v>
      </c>
      <c r="F304">
        <v>4.4000000000000004</v>
      </c>
      <c r="G304">
        <v>4</v>
      </c>
      <c r="H304">
        <v>44.7</v>
      </c>
      <c r="I304">
        <v>89.2</v>
      </c>
    </row>
    <row r="305" spans="1:9" x14ac:dyDescent="0.35">
      <c r="A305" t="s">
        <v>39</v>
      </c>
      <c r="B305" t="s">
        <v>40</v>
      </c>
      <c r="C305" s="2">
        <v>46069</v>
      </c>
      <c r="D305">
        <v>122.1</v>
      </c>
      <c r="E305">
        <v>28.2</v>
      </c>
      <c r="F305">
        <v>2.7</v>
      </c>
      <c r="G305">
        <v>3</v>
      </c>
      <c r="H305">
        <v>60.7</v>
      </c>
      <c r="I305">
        <v>93.3</v>
      </c>
    </row>
    <row r="306" spans="1:9" x14ac:dyDescent="0.35">
      <c r="A306" t="s">
        <v>35</v>
      </c>
      <c r="B306" t="s">
        <v>36</v>
      </c>
      <c r="C306" s="2">
        <v>46049</v>
      </c>
      <c r="D306">
        <v>242.2</v>
      </c>
      <c r="E306">
        <v>67.5</v>
      </c>
      <c r="F306">
        <v>3.2</v>
      </c>
      <c r="G306">
        <v>7</v>
      </c>
      <c r="H306">
        <v>60.3</v>
      </c>
      <c r="I306">
        <v>87.1</v>
      </c>
    </row>
    <row r="307" spans="1:9" x14ac:dyDescent="0.35">
      <c r="A307" t="s">
        <v>29</v>
      </c>
      <c r="B307" t="s">
        <v>30</v>
      </c>
      <c r="C307" s="2">
        <v>46053</v>
      </c>
      <c r="D307">
        <v>173.5</v>
      </c>
      <c r="E307">
        <v>53.9</v>
      </c>
      <c r="F307">
        <v>2</v>
      </c>
      <c r="G307">
        <v>7</v>
      </c>
      <c r="H307">
        <v>33.299999999999997</v>
      </c>
      <c r="I307">
        <v>99.9</v>
      </c>
    </row>
    <row r="308" spans="1:9" x14ac:dyDescent="0.35">
      <c r="A308" t="s">
        <v>43</v>
      </c>
      <c r="B308" t="s">
        <v>44</v>
      </c>
      <c r="C308" s="2">
        <v>46097</v>
      </c>
      <c r="D308">
        <v>228.3</v>
      </c>
      <c r="E308">
        <v>54.8</v>
      </c>
      <c r="F308">
        <v>4.2</v>
      </c>
      <c r="G308">
        <v>7</v>
      </c>
      <c r="H308">
        <v>54.5</v>
      </c>
      <c r="I308">
        <v>96.9</v>
      </c>
    </row>
    <row r="309" spans="1:9" x14ac:dyDescent="0.35">
      <c r="A309" t="s">
        <v>17</v>
      </c>
      <c r="B309" t="s">
        <v>18</v>
      </c>
      <c r="C309" s="2">
        <v>46112</v>
      </c>
      <c r="D309">
        <v>411.3</v>
      </c>
      <c r="E309">
        <v>96.8</v>
      </c>
      <c r="F309">
        <v>2.9</v>
      </c>
      <c r="G309">
        <v>2</v>
      </c>
      <c r="H309">
        <v>34.9</v>
      </c>
      <c r="I309">
        <v>88.7</v>
      </c>
    </row>
    <row r="310" spans="1:9" x14ac:dyDescent="0.35">
      <c r="A310" t="s">
        <v>17</v>
      </c>
      <c r="B310" t="s">
        <v>18</v>
      </c>
      <c r="C310" s="2">
        <v>46044</v>
      </c>
      <c r="D310">
        <v>319.39999999999998</v>
      </c>
      <c r="E310">
        <v>109.4</v>
      </c>
      <c r="F310">
        <v>4.4000000000000004</v>
      </c>
      <c r="G310">
        <v>7</v>
      </c>
      <c r="H310">
        <v>73.5</v>
      </c>
      <c r="I310">
        <v>90</v>
      </c>
    </row>
    <row r="311" spans="1:9" x14ac:dyDescent="0.35">
      <c r="A311" t="s">
        <v>15</v>
      </c>
      <c r="B311" t="s">
        <v>16</v>
      </c>
      <c r="C311" s="2">
        <v>46036</v>
      </c>
      <c r="D311">
        <v>83.9</v>
      </c>
      <c r="E311">
        <v>24</v>
      </c>
      <c r="F311">
        <v>2.4</v>
      </c>
      <c r="G311">
        <v>4</v>
      </c>
      <c r="H311">
        <v>50.1</v>
      </c>
      <c r="I311">
        <v>90.9</v>
      </c>
    </row>
    <row r="312" spans="1:9" x14ac:dyDescent="0.35">
      <c r="A312" t="s">
        <v>41</v>
      </c>
      <c r="B312" t="s">
        <v>42</v>
      </c>
      <c r="C312" s="2">
        <v>46111</v>
      </c>
      <c r="D312">
        <v>265.2</v>
      </c>
      <c r="E312">
        <v>71.099999999999994</v>
      </c>
      <c r="F312">
        <v>0.3</v>
      </c>
      <c r="G312">
        <v>2</v>
      </c>
      <c r="H312">
        <v>43.3</v>
      </c>
      <c r="I312">
        <v>98.8</v>
      </c>
    </row>
    <row r="313" spans="1:9" x14ac:dyDescent="0.35">
      <c r="A313" t="s">
        <v>11</v>
      </c>
      <c r="B313" t="s">
        <v>12</v>
      </c>
      <c r="C313" s="2">
        <v>46037</v>
      </c>
      <c r="D313">
        <v>387.6</v>
      </c>
      <c r="E313">
        <v>81.2</v>
      </c>
      <c r="F313">
        <v>1.7</v>
      </c>
      <c r="G313">
        <v>6</v>
      </c>
      <c r="H313">
        <v>50.5</v>
      </c>
      <c r="I313">
        <v>88.1</v>
      </c>
    </row>
    <row r="314" spans="1:9" x14ac:dyDescent="0.35">
      <c r="A314" t="s">
        <v>43</v>
      </c>
      <c r="B314" t="s">
        <v>44</v>
      </c>
      <c r="C314" s="2">
        <v>46067</v>
      </c>
      <c r="D314">
        <v>256.2</v>
      </c>
      <c r="E314">
        <v>64.3</v>
      </c>
      <c r="F314">
        <v>3.2</v>
      </c>
      <c r="G314">
        <v>6</v>
      </c>
      <c r="H314">
        <v>33</v>
      </c>
      <c r="I314">
        <v>85.7</v>
      </c>
    </row>
    <row r="315" spans="1:9" x14ac:dyDescent="0.35">
      <c r="A315" t="s">
        <v>9</v>
      </c>
      <c r="B315" t="s">
        <v>10</v>
      </c>
      <c r="C315" s="2">
        <v>46025</v>
      </c>
      <c r="D315">
        <v>394.2</v>
      </c>
      <c r="E315">
        <v>86.6</v>
      </c>
      <c r="F315">
        <v>3.1</v>
      </c>
      <c r="G315">
        <v>3</v>
      </c>
      <c r="H315">
        <v>71.8</v>
      </c>
      <c r="I315">
        <v>96.1</v>
      </c>
    </row>
    <row r="316" spans="1:9" x14ac:dyDescent="0.35">
      <c r="A316" t="s">
        <v>31</v>
      </c>
      <c r="B316" t="s">
        <v>32</v>
      </c>
      <c r="C316" s="2">
        <v>46045</v>
      </c>
      <c r="D316">
        <v>284.2</v>
      </c>
      <c r="E316">
        <v>76.900000000000006</v>
      </c>
      <c r="F316">
        <v>2</v>
      </c>
      <c r="G316">
        <v>8</v>
      </c>
      <c r="H316">
        <v>40.4</v>
      </c>
      <c r="I316">
        <v>91.1</v>
      </c>
    </row>
    <row r="317" spans="1:9" x14ac:dyDescent="0.35">
      <c r="A317" t="s">
        <v>37</v>
      </c>
      <c r="B317" t="s">
        <v>38</v>
      </c>
      <c r="C317" s="2">
        <v>46046</v>
      </c>
      <c r="D317">
        <v>317</v>
      </c>
      <c r="E317">
        <v>79.900000000000006</v>
      </c>
      <c r="F317">
        <v>0.3</v>
      </c>
      <c r="G317">
        <v>4</v>
      </c>
      <c r="H317">
        <v>50.2</v>
      </c>
      <c r="I317">
        <v>91.4</v>
      </c>
    </row>
    <row r="318" spans="1:9" x14ac:dyDescent="0.35">
      <c r="A318" t="s">
        <v>27</v>
      </c>
      <c r="B318" t="s">
        <v>28</v>
      </c>
      <c r="C318" s="2">
        <v>46050</v>
      </c>
      <c r="D318">
        <v>156.1</v>
      </c>
      <c r="E318">
        <v>32.299999999999997</v>
      </c>
      <c r="F318">
        <v>3.7</v>
      </c>
      <c r="G318">
        <v>2</v>
      </c>
      <c r="H318">
        <v>56</v>
      </c>
      <c r="I318">
        <v>97</v>
      </c>
    </row>
    <row r="319" spans="1:9" x14ac:dyDescent="0.35">
      <c r="A319" t="s">
        <v>13</v>
      </c>
      <c r="B319" t="s">
        <v>14</v>
      </c>
      <c r="C319" s="2">
        <v>46046</v>
      </c>
      <c r="D319">
        <v>215.3</v>
      </c>
      <c r="E319">
        <v>64.599999999999994</v>
      </c>
      <c r="F319">
        <v>0.7</v>
      </c>
      <c r="G319">
        <v>8</v>
      </c>
      <c r="H319">
        <v>53.7</v>
      </c>
      <c r="I319">
        <v>94.6</v>
      </c>
    </row>
    <row r="320" spans="1:9" x14ac:dyDescent="0.35">
      <c r="A320" t="s">
        <v>45</v>
      </c>
      <c r="B320" t="s">
        <v>46</v>
      </c>
      <c r="C320" s="2">
        <v>46072</v>
      </c>
      <c r="D320">
        <v>306.2</v>
      </c>
      <c r="E320">
        <v>69.8</v>
      </c>
      <c r="F320">
        <v>1.7</v>
      </c>
      <c r="G320">
        <v>8</v>
      </c>
      <c r="H320">
        <v>57.8</v>
      </c>
      <c r="I320">
        <v>97.2</v>
      </c>
    </row>
    <row r="321" spans="1:9" x14ac:dyDescent="0.35">
      <c r="A321" t="s">
        <v>29</v>
      </c>
      <c r="B321" t="s">
        <v>30</v>
      </c>
      <c r="C321" s="2">
        <v>46101</v>
      </c>
      <c r="D321">
        <v>298.39999999999998</v>
      </c>
      <c r="E321">
        <v>64.7</v>
      </c>
      <c r="F321">
        <v>2.2999999999999998</v>
      </c>
      <c r="G321">
        <v>4</v>
      </c>
      <c r="H321">
        <v>43.7</v>
      </c>
      <c r="I321">
        <v>87.7</v>
      </c>
    </row>
    <row r="322" spans="1:9" x14ac:dyDescent="0.35">
      <c r="A322" t="s">
        <v>25</v>
      </c>
      <c r="B322" t="s">
        <v>26</v>
      </c>
      <c r="C322" s="2">
        <v>46088</v>
      </c>
      <c r="D322">
        <v>223.7</v>
      </c>
      <c r="E322">
        <v>50.7</v>
      </c>
      <c r="F322">
        <v>2.7</v>
      </c>
      <c r="G322">
        <v>7</v>
      </c>
      <c r="H322">
        <v>38.4</v>
      </c>
      <c r="I322">
        <v>94.5</v>
      </c>
    </row>
    <row r="323" spans="1:9" x14ac:dyDescent="0.35">
      <c r="A323" t="s">
        <v>37</v>
      </c>
      <c r="B323" t="s">
        <v>38</v>
      </c>
      <c r="C323" s="2">
        <v>46094</v>
      </c>
      <c r="D323">
        <v>141.69999999999999</v>
      </c>
      <c r="E323">
        <v>39.6</v>
      </c>
      <c r="F323">
        <v>1</v>
      </c>
      <c r="G323">
        <v>8</v>
      </c>
      <c r="H323">
        <v>57.9</v>
      </c>
      <c r="I323">
        <v>98</v>
      </c>
    </row>
    <row r="324" spans="1:9" x14ac:dyDescent="0.35">
      <c r="A324" t="s">
        <v>27</v>
      </c>
      <c r="B324" t="s">
        <v>28</v>
      </c>
      <c r="C324" s="2">
        <v>46085</v>
      </c>
      <c r="D324">
        <v>130.5</v>
      </c>
      <c r="E324">
        <v>26.1</v>
      </c>
      <c r="F324">
        <v>4.3</v>
      </c>
      <c r="G324">
        <v>8</v>
      </c>
      <c r="H324">
        <v>48.4</v>
      </c>
      <c r="I324">
        <v>92.4</v>
      </c>
    </row>
    <row r="325" spans="1:9" x14ac:dyDescent="0.35">
      <c r="A325" t="s">
        <v>35</v>
      </c>
      <c r="B325" t="s">
        <v>36</v>
      </c>
      <c r="C325" s="2">
        <v>46085</v>
      </c>
      <c r="D325">
        <v>141.9</v>
      </c>
      <c r="E325">
        <v>32.799999999999997</v>
      </c>
      <c r="F325">
        <v>3.6</v>
      </c>
      <c r="G325">
        <v>4</v>
      </c>
      <c r="H325">
        <v>43.1</v>
      </c>
      <c r="I325">
        <v>89.1</v>
      </c>
    </row>
    <row r="326" spans="1:9" x14ac:dyDescent="0.35">
      <c r="A326" t="s">
        <v>13</v>
      </c>
      <c r="B326" t="s">
        <v>14</v>
      </c>
      <c r="C326" s="2">
        <v>46059</v>
      </c>
      <c r="D326">
        <v>142.19999999999999</v>
      </c>
      <c r="E326">
        <v>35.200000000000003</v>
      </c>
      <c r="F326">
        <v>3.4</v>
      </c>
      <c r="G326">
        <v>8</v>
      </c>
      <c r="H326">
        <v>54.7</v>
      </c>
      <c r="I326">
        <v>86.7</v>
      </c>
    </row>
    <row r="327" spans="1:9" x14ac:dyDescent="0.35">
      <c r="A327" t="s">
        <v>9</v>
      </c>
      <c r="B327" t="s">
        <v>10</v>
      </c>
      <c r="C327" s="2">
        <v>46057</v>
      </c>
      <c r="D327">
        <v>366.8</v>
      </c>
      <c r="E327">
        <v>73</v>
      </c>
      <c r="F327">
        <v>1.8</v>
      </c>
      <c r="G327">
        <v>1</v>
      </c>
      <c r="H327">
        <v>64.2</v>
      </c>
      <c r="I327">
        <v>91.6</v>
      </c>
    </row>
    <row r="328" spans="1:9" x14ac:dyDescent="0.35">
      <c r="A328" t="s">
        <v>33</v>
      </c>
      <c r="B328" t="s">
        <v>34</v>
      </c>
      <c r="C328" s="2">
        <v>46077</v>
      </c>
      <c r="D328">
        <v>117.9</v>
      </c>
      <c r="E328">
        <v>23.4</v>
      </c>
      <c r="F328">
        <v>3.4</v>
      </c>
      <c r="G328">
        <v>5</v>
      </c>
      <c r="H328">
        <v>69.400000000000006</v>
      </c>
      <c r="I328">
        <v>85.5</v>
      </c>
    </row>
    <row r="329" spans="1:9" x14ac:dyDescent="0.35">
      <c r="A329" t="s">
        <v>47</v>
      </c>
      <c r="B329" t="s">
        <v>48</v>
      </c>
      <c r="C329" s="2">
        <v>46067</v>
      </c>
      <c r="D329">
        <v>399</v>
      </c>
      <c r="E329">
        <v>131.5</v>
      </c>
      <c r="F329">
        <v>3.9</v>
      </c>
      <c r="G329">
        <v>2</v>
      </c>
      <c r="H329">
        <v>64.900000000000006</v>
      </c>
      <c r="I329">
        <v>88.6</v>
      </c>
    </row>
    <row r="330" spans="1:9" x14ac:dyDescent="0.35">
      <c r="A330" t="s">
        <v>41</v>
      </c>
      <c r="B330" t="s">
        <v>42</v>
      </c>
      <c r="C330" s="2">
        <v>46111</v>
      </c>
      <c r="D330">
        <v>209.7</v>
      </c>
      <c r="E330">
        <v>44.4</v>
      </c>
      <c r="F330">
        <v>2.9</v>
      </c>
      <c r="G330">
        <v>3</v>
      </c>
      <c r="H330">
        <v>57.7</v>
      </c>
      <c r="I330">
        <v>96.8</v>
      </c>
    </row>
    <row r="331" spans="1:9" x14ac:dyDescent="0.35">
      <c r="A331" t="s">
        <v>33</v>
      </c>
      <c r="B331" t="s">
        <v>34</v>
      </c>
      <c r="C331" s="2">
        <v>46030</v>
      </c>
      <c r="D331">
        <v>290.89999999999998</v>
      </c>
      <c r="E331">
        <v>68.7</v>
      </c>
      <c r="F331">
        <v>2.8</v>
      </c>
      <c r="G331">
        <v>3</v>
      </c>
      <c r="H331">
        <v>44.6</v>
      </c>
      <c r="I331">
        <v>95.6</v>
      </c>
    </row>
    <row r="332" spans="1:9" x14ac:dyDescent="0.35">
      <c r="A332" t="s">
        <v>29</v>
      </c>
      <c r="B332" t="s">
        <v>30</v>
      </c>
      <c r="C332" s="2">
        <v>46096</v>
      </c>
      <c r="D332">
        <v>178.9</v>
      </c>
      <c r="E332">
        <v>35</v>
      </c>
      <c r="F332">
        <v>4.4000000000000004</v>
      </c>
      <c r="G332">
        <v>2</v>
      </c>
      <c r="H332">
        <v>36.1</v>
      </c>
      <c r="I332">
        <v>96.3</v>
      </c>
    </row>
    <row r="333" spans="1:9" x14ac:dyDescent="0.35">
      <c r="A333" t="s">
        <v>15</v>
      </c>
      <c r="B333" t="s">
        <v>16</v>
      </c>
      <c r="C333" s="2">
        <v>46030</v>
      </c>
      <c r="D333">
        <v>447.2</v>
      </c>
      <c r="E333">
        <v>87</v>
      </c>
      <c r="F333">
        <v>0.7</v>
      </c>
      <c r="G333">
        <v>3</v>
      </c>
      <c r="H333">
        <v>41.2</v>
      </c>
      <c r="I333">
        <v>95.7</v>
      </c>
    </row>
    <row r="334" spans="1:9" x14ac:dyDescent="0.35">
      <c r="A334" t="s">
        <v>19</v>
      </c>
      <c r="B334" t="s">
        <v>20</v>
      </c>
      <c r="C334" s="2">
        <v>46109</v>
      </c>
      <c r="D334">
        <v>225.3</v>
      </c>
      <c r="E334">
        <v>70.8</v>
      </c>
      <c r="F334">
        <v>2.9</v>
      </c>
      <c r="G334">
        <v>7</v>
      </c>
      <c r="H334">
        <v>46.9</v>
      </c>
      <c r="I334">
        <v>86.1</v>
      </c>
    </row>
    <row r="335" spans="1:9" x14ac:dyDescent="0.35">
      <c r="A335" t="s">
        <v>11</v>
      </c>
      <c r="B335" t="s">
        <v>12</v>
      </c>
      <c r="C335" s="2">
        <v>46074</v>
      </c>
      <c r="D335">
        <v>270.8</v>
      </c>
      <c r="E335">
        <v>76.3</v>
      </c>
      <c r="F335">
        <v>4.2</v>
      </c>
      <c r="G335">
        <v>6</v>
      </c>
      <c r="H335">
        <v>50.5</v>
      </c>
      <c r="I335">
        <v>92.3</v>
      </c>
    </row>
    <row r="336" spans="1:9" x14ac:dyDescent="0.35">
      <c r="A336" t="s">
        <v>41</v>
      </c>
      <c r="B336" t="s">
        <v>42</v>
      </c>
      <c r="C336" s="2">
        <v>46023</v>
      </c>
      <c r="D336">
        <v>401.5</v>
      </c>
      <c r="E336">
        <v>78.900000000000006</v>
      </c>
      <c r="F336">
        <v>0.6</v>
      </c>
      <c r="G336">
        <v>8</v>
      </c>
      <c r="H336">
        <v>58.6</v>
      </c>
      <c r="I336">
        <v>95.5</v>
      </c>
    </row>
    <row r="337" spans="1:9" x14ac:dyDescent="0.35">
      <c r="A337" t="s">
        <v>11</v>
      </c>
      <c r="B337" t="s">
        <v>12</v>
      </c>
      <c r="C337" s="2">
        <v>46091</v>
      </c>
      <c r="D337">
        <v>227.2</v>
      </c>
      <c r="E337">
        <v>42</v>
      </c>
      <c r="F337">
        <v>3.7</v>
      </c>
      <c r="G337">
        <v>8</v>
      </c>
      <c r="H337">
        <v>42.1</v>
      </c>
      <c r="I337">
        <v>97.4</v>
      </c>
    </row>
    <row r="338" spans="1:9" x14ac:dyDescent="0.35">
      <c r="A338" t="s">
        <v>23</v>
      </c>
      <c r="B338" t="s">
        <v>24</v>
      </c>
      <c r="C338" s="2">
        <v>46093</v>
      </c>
      <c r="D338">
        <v>293.8</v>
      </c>
      <c r="E338">
        <v>67.900000000000006</v>
      </c>
      <c r="F338">
        <v>2.2999999999999998</v>
      </c>
      <c r="G338">
        <v>6</v>
      </c>
      <c r="H338">
        <v>70.2</v>
      </c>
      <c r="I338">
        <v>96.4</v>
      </c>
    </row>
    <row r="339" spans="1:9" x14ac:dyDescent="0.35">
      <c r="A339" t="s">
        <v>21</v>
      </c>
      <c r="B339" t="s">
        <v>22</v>
      </c>
      <c r="C339" s="2">
        <v>46035</v>
      </c>
      <c r="D339">
        <v>311.7</v>
      </c>
      <c r="E339">
        <v>61.6</v>
      </c>
      <c r="F339">
        <v>0.3</v>
      </c>
      <c r="G339">
        <v>3</v>
      </c>
      <c r="H339">
        <v>49.9</v>
      </c>
      <c r="I339">
        <v>85</v>
      </c>
    </row>
    <row r="340" spans="1:9" x14ac:dyDescent="0.35">
      <c r="A340" t="s">
        <v>15</v>
      </c>
      <c r="B340" t="s">
        <v>16</v>
      </c>
      <c r="C340" s="2">
        <v>46048</v>
      </c>
      <c r="D340">
        <v>448.4</v>
      </c>
      <c r="E340">
        <v>85.3</v>
      </c>
      <c r="F340">
        <v>4</v>
      </c>
      <c r="G340">
        <v>5</v>
      </c>
      <c r="H340">
        <v>37.200000000000003</v>
      </c>
      <c r="I340">
        <v>99</v>
      </c>
    </row>
    <row r="341" spans="1:9" x14ac:dyDescent="0.35">
      <c r="A341" t="s">
        <v>47</v>
      </c>
      <c r="B341" t="s">
        <v>48</v>
      </c>
      <c r="C341" s="2">
        <v>46034</v>
      </c>
      <c r="D341">
        <v>322.2</v>
      </c>
      <c r="E341">
        <v>92.7</v>
      </c>
      <c r="F341">
        <v>1.8</v>
      </c>
      <c r="G341">
        <v>3</v>
      </c>
      <c r="H341">
        <v>32.299999999999997</v>
      </c>
      <c r="I341">
        <v>94.4</v>
      </c>
    </row>
    <row r="342" spans="1:9" x14ac:dyDescent="0.35">
      <c r="A342" t="s">
        <v>19</v>
      </c>
      <c r="B342" t="s">
        <v>20</v>
      </c>
      <c r="C342" s="2">
        <v>46077</v>
      </c>
      <c r="D342">
        <v>322.5</v>
      </c>
      <c r="E342">
        <v>68.599999999999994</v>
      </c>
      <c r="F342">
        <v>0.2</v>
      </c>
      <c r="G342">
        <v>8</v>
      </c>
      <c r="H342">
        <v>33.5</v>
      </c>
      <c r="I342">
        <v>93.9</v>
      </c>
    </row>
    <row r="343" spans="1:9" x14ac:dyDescent="0.35">
      <c r="A343" t="s">
        <v>31</v>
      </c>
      <c r="B343" t="s">
        <v>32</v>
      </c>
      <c r="C343" s="2">
        <v>46110</v>
      </c>
      <c r="D343">
        <v>244.7</v>
      </c>
      <c r="E343">
        <v>86.7</v>
      </c>
      <c r="F343">
        <v>1.7</v>
      </c>
      <c r="G343">
        <v>2</v>
      </c>
      <c r="H343">
        <v>74.5</v>
      </c>
      <c r="I343">
        <v>91.3</v>
      </c>
    </row>
    <row r="344" spans="1:9" x14ac:dyDescent="0.35">
      <c r="A344" t="s">
        <v>25</v>
      </c>
      <c r="B344" t="s">
        <v>26</v>
      </c>
      <c r="C344" s="2">
        <v>46084</v>
      </c>
      <c r="D344">
        <v>106.2</v>
      </c>
      <c r="E344">
        <v>27.7</v>
      </c>
      <c r="F344">
        <v>3.3</v>
      </c>
      <c r="G344">
        <v>2</v>
      </c>
      <c r="H344">
        <v>34.6</v>
      </c>
      <c r="I344">
        <v>90.5</v>
      </c>
    </row>
    <row r="345" spans="1:9" x14ac:dyDescent="0.35">
      <c r="A345" t="s">
        <v>29</v>
      </c>
      <c r="B345" t="s">
        <v>30</v>
      </c>
      <c r="C345" s="2">
        <v>46040</v>
      </c>
      <c r="D345">
        <v>221.6</v>
      </c>
      <c r="E345">
        <v>44.4</v>
      </c>
      <c r="F345">
        <v>4</v>
      </c>
      <c r="G345">
        <v>3</v>
      </c>
      <c r="H345">
        <v>33.1</v>
      </c>
      <c r="I345">
        <v>93.4</v>
      </c>
    </row>
    <row r="346" spans="1:9" x14ac:dyDescent="0.35">
      <c r="A346" t="s">
        <v>45</v>
      </c>
      <c r="B346" t="s">
        <v>46</v>
      </c>
      <c r="C346" s="2">
        <v>46106</v>
      </c>
      <c r="D346">
        <v>140.69999999999999</v>
      </c>
      <c r="E346">
        <v>37.5</v>
      </c>
      <c r="F346">
        <v>1.1000000000000001</v>
      </c>
      <c r="G346">
        <v>3</v>
      </c>
      <c r="H346">
        <v>71.400000000000006</v>
      </c>
      <c r="I346">
        <v>94.2</v>
      </c>
    </row>
    <row r="347" spans="1:9" x14ac:dyDescent="0.35">
      <c r="A347" t="s">
        <v>35</v>
      </c>
      <c r="B347" t="s">
        <v>36</v>
      </c>
      <c r="C347" s="2">
        <v>46050</v>
      </c>
      <c r="D347">
        <v>112.1</v>
      </c>
      <c r="E347">
        <v>36.5</v>
      </c>
      <c r="F347">
        <v>3.4</v>
      </c>
      <c r="G347">
        <v>7</v>
      </c>
      <c r="H347">
        <v>45.8</v>
      </c>
      <c r="I347">
        <v>91.4</v>
      </c>
    </row>
    <row r="348" spans="1:9" x14ac:dyDescent="0.35">
      <c r="A348" t="s">
        <v>25</v>
      </c>
      <c r="B348" t="s">
        <v>26</v>
      </c>
      <c r="C348" s="2">
        <v>46054</v>
      </c>
      <c r="D348">
        <v>182.5</v>
      </c>
      <c r="E348">
        <v>60.3</v>
      </c>
      <c r="F348">
        <v>2.6</v>
      </c>
      <c r="G348">
        <v>5</v>
      </c>
      <c r="H348">
        <v>65.099999999999994</v>
      </c>
      <c r="I348">
        <v>95.4</v>
      </c>
    </row>
    <row r="349" spans="1:9" x14ac:dyDescent="0.35">
      <c r="A349" t="s">
        <v>29</v>
      </c>
      <c r="B349" t="s">
        <v>30</v>
      </c>
      <c r="C349" s="2">
        <v>46049</v>
      </c>
      <c r="D349">
        <v>271.60000000000002</v>
      </c>
      <c r="E349">
        <v>65</v>
      </c>
      <c r="F349">
        <v>3.4</v>
      </c>
      <c r="G349">
        <v>5</v>
      </c>
      <c r="H349">
        <v>59.1</v>
      </c>
      <c r="I349">
        <v>96.8</v>
      </c>
    </row>
    <row r="350" spans="1:9" x14ac:dyDescent="0.35">
      <c r="A350" t="s">
        <v>19</v>
      </c>
      <c r="B350" t="s">
        <v>20</v>
      </c>
      <c r="C350" s="2">
        <v>46086</v>
      </c>
      <c r="D350">
        <v>222.8</v>
      </c>
      <c r="E350">
        <v>64.599999999999994</v>
      </c>
      <c r="F350">
        <v>2.9</v>
      </c>
      <c r="G350">
        <v>2</v>
      </c>
      <c r="H350">
        <v>53.8</v>
      </c>
      <c r="I350">
        <v>99.7</v>
      </c>
    </row>
    <row r="351" spans="1:9" x14ac:dyDescent="0.35">
      <c r="A351" t="s">
        <v>17</v>
      </c>
      <c r="B351" t="s">
        <v>18</v>
      </c>
      <c r="C351" s="2">
        <v>46063</v>
      </c>
      <c r="D351">
        <v>128.80000000000001</v>
      </c>
      <c r="E351">
        <v>25.1</v>
      </c>
      <c r="F351">
        <v>2.6</v>
      </c>
      <c r="G351">
        <v>6</v>
      </c>
      <c r="H351">
        <v>54.6</v>
      </c>
      <c r="I351">
        <v>87.6</v>
      </c>
    </row>
    <row r="352" spans="1:9" x14ac:dyDescent="0.35">
      <c r="A352" t="s">
        <v>43</v>
      </c>
      <c r="B352" t="s">
        <v>44</v>
      </c>
      <c r="C352" s="2">
        <v>46032</v>
      </c>
      <c r="D352">
        <v>86.2</v>
      </c>
      <c r="E352">
        <v>28.9</v>
      </c>
      <c r="F352">
        <v>1.3</v>
      </c>
      <c r="G352">
        <v>1</v>
      </c>
      <c r="H352">
        <v>71.5</v>
      </c>
      <c r="I352">
        <v>92</v>
      </c>
    </row>
    <row r="353" spans="1:9" x14ac:dyDescent="0.35">
      <c r="A353" t="s">
        <v>39</v>
      </c>
      <c r="B353" t="s">
        <v>40</v>
      </c>
      <c r="C353" s="2">
        <v>46087</v>
      </c>
      <c r="D353">
        <v>186</v>
      </c>
      <c r="E353">
        <v>39.4</v>
      </c>
      <c r="F353">
        <v>3.5</v>
      </c>
      <c r="G353">
        <v>7</v>
      </c>
      <c r="H353">
        <v>61.6</v>
      </c>
      <c r="I353">
        <v>86.2</v>
      </c>
    </row>
    <row r="354" spans="1:9" x14ac:dyDescent="0.35">
      <c r="A354" t="s">
        <v>13</v>
      </c>
      <c r="B354" t="s">
        <v>14</v>
      </c>
      <c r="C354" s="2">
        <v>46091</v>
      </c>
      <c r="D354">
        <v>307.89999999999998</v>
      </c>
      <c r="E354">
        <v>86.8</v>
      </c>
      <c r="F354">
        <v>1.5</v>
      </c>
      <c r="G354">
        <v>4</v>
      </c>
      <c r="H354">
        <v>73.8</v>
      </c>
      <c r="I354">
        <v>87.3</v>
      </c>
    </row>
    <row r="355" spans="1:9" x14ac:dyDescent="0.35">
      <c r="A355" t="s">
        <v>23</v>
      </c>
      <c r="B355" t="s">
        <v>24</v>
      </c>
      <c r="C355" s="2">
        <v>46073</v>
      </c>
      <c r="D355">
        <v>297</v>
      </c>
      <c r="E355">
        <v>61.1</v>
      </c>
      <c r="F355">
        <v>3</v>
      </c>
      <c r="G355">
        <v>2</v>
      </c>
      <c r="H355">
        <v>44</v>
      </c>
      <c r="I355">
        <v>91.6</v>
      </c>
    </row>
    <row r="356" spans="1:9" x14ac:dyDescent="0.35">
      <c r="A356" t="s">
        <v>19</v>
      </c>
      <c r="B356" t="s">
        <v>20</v>
      </c>
      <c r="C356" s="2">
        <v>46030</v>
      </c>
      <c r="D356">
        <v>170.5</v>
      </c>
      <c r="E356">
        <v>32.200000000000003</v>
      </c>
      <c r="F356">
        <v>0.7</v>
      </c>
      <c r="G356">
        <v>1</v>
      </c>
      <c r="H356">
        <v>43.9</v>
      </c>
      <c r="I356">
        <v>96.1</v>
      </c>
    </row>
    <row r="357" spans="1:9" x14ac:dyDescent="0.35">
      <c r="A357" t="s">
        <v>37</v>
      </c>
      <c r="B357" t="s">
        <v>38</v>
      </c>
      <c r="C357" s="2">
        <v>46038</v>
      </c>
      <c r="D357">
        <v>84.7</v>
      </c>
      <c r="E357">
        <v>26.7</v>
      </c>
      <c r="F357">
        <v>0.2</v>
      </c>
      <c r="G357">
        <v>8</v>
      </c>
      <c r="H357">
        <v>72.900000000000006</v>
      </c>
      <c r="I357">
        <v>92.8</v>
      </c>
    </row>
    <row r="358" spans="1:9" x14ac:dyDescent="0.35">
      <c r="A358" t="s">
        <v>47</v>
      </c>
      <c r="B358" t="s">
        <v>48</v>
      </c>
      <c r="C358" s="2">
        <v>46044</v>
      </c>
      <c r="D358">
        <v>217.6</v>
      </c>
      <c r="E358">
        <v>65</v>
      </c>
      <c r="F358">
        <v>4</v>
      </c>
      <c r="G358">
        <v>2</v>
      </c>
      <c r="H358">
        <v>64.7</v>
      </c>
      <c r="I358">
        <v>85.4</v>
      </c>
    </row>
    <row r="359" spans="1:9" x14ac:dyDescent="0.35">
      <c r="A359" t="s">
        <v>15</v>
      </c>
      <c r="B359" t="s">
        <v>16</v>
      </c>
      <c r="C359" s="2">
        <v>46057</v>
      </c>
      <c r="D359">
        <v>273.8</v>
      </c>
      <c r="E359">
        <v>78</v>
      </c>
      <c r="F359">
        <v>4.4000000000000004</v>
      </c>
      <c r="G359">
        <v>2</v>
      </c>
      <c r="H359">
        <v>52.3</v>
      </c>
      <c r="I359">
        <v>92.7</v>
      </c>
    </row>
    <row r="360" spans="1:9" x14ac:dyDescent="0.35">
      <c r="A360" t="s">
        <v>21</v>
      </c>
      <c r="B360" t="s">
        <v>22</v>
      </c>
      <c r="C360" s="2">
        <v>46086</v>
      </c>
      <c r="D360">
        <v>398</v>
      </c>
      <c r="E360">
        <v>122.4</v>
      </c>
      <c r="F360">
        <v>0.9</v>
      </c>
      <c r="G360">
        <v>2</v>
      </c>
      <c r="H360">
        <v>70.2</v>
      </c>
      <c r="I360">
        <v>95.1</v>
      </c>
    </row>
    <row r="361" spans="1:9" x14ac:dyDescent="0.35">
      <c r="A361" t="s">
        <v>9</v>
      </c>
      <c r="B361" t="s">
        <v>10</v>
      </c>
      <c r="C361" s="2">
        <v>46052</v>
      </c>
      <c r="D361">
        <v>354.1</v>
      </c>
      <c r="E361">
        <v>126.2</v>
      </c>
      <c r="F361">
        <v>3.9</v>
      </c>
      <c r="G361">
        <v>1</v>
      </c>
      <c r="H361">
        <v>41</v>
      </c>
      <c r="I361">
        <v>92.1</v>
      </c>
    </row>
    <row r="362" spans="1:9" x14ac:dyDescent="0.35">
      <c r="A362" t="s">
        <v>39</v>
      </c>
      <c r="B362" t="s">
        <v>40</v>
      </c>
      <c r="C362" s="2">
        <v>46042</v>
      </c>
      <c r="D362">
        <v>146.19999999999999</v>
      </c>
      <c r="E362">
        <v>27.1</v>
      </c>
      <c r="F362">
        <v>0.4</v>
      </c>
      <c r="G362">
        <v>7</v>
      </c>
      <c r="H362">
        <v>40.1</v>
      </c>
      <c r="I362">
        <v>88.7</v>
      </c>
    </row>
    <row r="363" spans="1:9" x14ac:dyDescent="0.35">
      <c r="A363" t="s">
        <v>23</v>
      </c>
      <c r="B363" t="s">
        <v>24</v>
      </c>
      <c r="C363" s="2">
        <v>46057</v>
      </c>
      <c r="D363">
        <v>385.6</v>
      </c>
      <c r="E363">
        <v>88.8</v>
      </c>
      <c r="F363">
        <v>0.7</v>
      </c>
      <c r="G363">
        <v>1</v>
      </c>
      <c r="H363">
        <v>38.1</v>
      </c>
      <c r="I363">
        <v>97.1</v>
      </c>
    </row>
    <row r="364" spans="1:9" x14ac:dyDescent="0.35">
      <c r="A364" t="s">
        <v>21</v>
      </c>
      <c r="B364" t="s">
        <v>22</v>
      </c>
      <c r="C364" s="2">
        <v>46074</v>
      </c>
      <c r="D364">
        <v>105.5</v>
      </c>
      <c r="E364">
        <v>26</v>
      </c>
      <c r="F364">
        <v>1.4</v>
      </c>
      <c r="G364">
        <v>5</v>
      </c>
      <c r="H364">
        <v>44.7</v>
      </c>
      <c r="I364">
        <v>93.3</v>
      </c>
    </row>
    <row r="365" spans="1:9" x14ac:dyDescent="0.35">
      <c r="A365" t="s">
        <v>27</v>
      </c>
      <c r="B365" t="s">
        <v>28</v>
      </c>
      <c r="C365" s="2">
        <v>46070</v>
      </c>
      <c r="D365">
        <v>154.19999999999999</v>
      </c>
      <c r="E365">
        <v>35.700000000000003</v>
      </c>
      <c r="F365">
        <v>1.5</v>
      </c>
      <c r="G365">
        <v>4</v>
      </c>
      <c r="H365">
        <v>50.9</v>
      </c>
      <c r="I365">
        <v>93.9</v>
      </c>
    </row>
    <row r="366" spans="1:9" x14ac:dyDescent="0.35">
      <c r="A366" t="s">
        <v>43</v>
      </c>
      <c r="B366" t="s">
        <v>44</v>
      </c>
      <c r="C366" s="2">
        <v>46048</v>
      </c>
      <c r="D366">
        <v>351</v>
      </c>
      <c r="E366">
        <v>82.1</v>
      </c>
      <c r="F366">
        <v>3.6</v>
      </c>
      <c r="G366">
        <v>3</v>
      </c>
      <c r="H366">
        <v>30.3</v>
      </c>
      <c r="I366">
        <v>91.2</v>
      </c>
    </row>
    <row r="367" spans="1:9" x14ac:dyDescent="0.35">
      <c r="A367" t="s">
        <v>19</v>
      </c>
      <c r="B367" t="s">
        <v>20</v>
      </c>
      <c r="C367" s="2">
        <v>46092</v>
      </c>
      <c r="D367">
        <v>208.2</v>
      </c>
      <c r="E367">
        <v>41.1</v>
      </c>
      <c r="F367">
        <v>4</v>
      </c>
      <c r="G367">
        <v>6</v>
      </c>
      <c r="H367">
        <v>30.1</v>
      </c>
      <c r="I367">
        <v>94.9</v>
      </c>
    </row>
    <row r="368" spans="1:9" x14ac:dyDescent="0.35">
      <c r="A368" t="s">
        <v>29</v>
      </c>
      <c r="B368" t="s">
        <v>30</v>
      </c>
      <c r="C368" s="2">
        <v>46036</v>
      </c>
      <c r="D368">
        <v>155.9</v>
      </c>
      <c r="E368">
        <v>28.6</v>
      </c>
      <c r="F368">
        <v>2</v>
      </c>
      <c r="G368">
        <v>1</v>
      </c>
      <c r="H368">
        <v>73.8</v>
      </c>
      <c r="I368">
        <v>87.1</v>
      </c>
    </row>
    <row r="369" spans="1:9" x14ac:dyDescent="0.35">
      <c r="A369" t="s">
        <v>47</v>
      </c>
      <c r="B369" t="s">
        <v>48</v>
      </c>
      <c r="C369" s="2">
        <v>46034</v>
      </c>
      <c r="D369">
        <v>96.2</v>
      </c>
      <c r="E369">
        <v>28.1</v>
      </c>
      <c r="F369">
        <v>3.8</v>
      </c>
      <c r="G369">
        <v>7</v>
      </c>
      <c r="H369">
        <v>61.5</v>
      </c>
      <c r="I369">
        <v>90.6</v>
      </c>
    </row>
    <row r="370" spans="1:9" x14ac:dyDescent="0.35">
      <c r="A370" t="s">
        <v>11</v>
      </c>
      <c r="B370" t="s">
        <v>12</v>
      </c>
      <c r="C370" s="2">
        <v>46097</v>
      </c>
      <c r="D370">
        <v>115.4</v>
      </c>
      <c r="E370">
        <v>36.5</v>
      </c>
      <c r="F370">
        <v>3.7</v>
      </c>
      <c r="G370">
        <v>2</v>
      </c>
      <c r="H370">
        <v>56.6</v>
      </c>
      <c r="I370">
        <v>85.9</v>
      </c>
    </row>
    <row r="371" spans="1:9" x14ac:dyDescent="0.35">
      <c r="A371" t="s">
        <v>25</v>
      </c>
      <c r="B371" t="s">
        <v>26</v>
      </c>
      <c r="C371" s="2">
        <v>46053</v>
      </c>
      <c r="D371">
        <v>187.9</v>
      </c>
      <c r="E371">
        <v>36.9</v>
      </c>
      <c r="F371">
        <v>4.2</v>
      </c>
      <c r="G371">
        <v>7</v>
      </c>
      <c r="H371">
        <v>61.5</v>
      </c>
      <c r="I371">
        <v>96</v>
      </c>
    </row>
    <row r="372" spans="1:9" x14ac:dyDescent="0.35">
      <c r="A372" t="s">
        <v>23</v>
      </c>
      <c r="B372" t="s">
        <v>24</v>
      </c>
      <c r="C372" s="2">
        <v>46080</v>
      </c>
      <c r="D372">
        <v>180.6</v>
      </c>
      <c r="E372">
        <v>60.2</v>
      </c>
      <c r="F372">
        <v>1.1000000000000001</v>
      </c>
      <c r="G372">
        <v>2</v>
      </c>
      <c r="H372">
        <v>37</v>
      </c>
      <c r="I372">
        <v>87.5</v>
      </c>
    </row>
    <row r="373" spans="1:9" x14ac:dyDescent="0.35">
      <c r="A373" t="s">
        <v>35</v>
      </c>
      <c r="B373" t="s">
        <v>36</v>
      </c>
      <c r="C373" s="2">
        <v>46063</v>
      </c>
      <c r="D373">
        <v>230.4</v>
      </c>
      <c r="E373">
        <v>54.3</v>
      </c>
      <c r="F373">
        <v>2.2999999999999998</v>
      </c>
      <c r="G373">
        <v>4</v>
      </c>
      <c r="H373">
        <v>50.3</v>
      </c>
      <c r="I373">
        <v>92</v>
      </c>
    </row>
    <row r="374" spans="1:9" x14ac:dyDescent="0.35">
      <c r="A374" t="s">
        <v>9</v>
      </c>
      <c r="B374" t="s">
        <v>10</v>
      </c>
      <c r="C374" s="2">
        <v>46034</v>
      </c>
      <c r="D374">
        <v>138.30000000000001</v>
      </c>
      <c r="E374">
        <v>29.7</v>
      </c>
      <c r="F374">
        <v>3.8</v>
      </c>
      <c r="G374">
        <v>1</v>
      </c>
      <c r="H374">
        <v>39.700000000000003</v>
      </c>
      <c r="I374">
        <v>97.8</v>
      </c>
    </row>
    <row r="375" spans="1:9" x14ac:dyDescent="0.35">
      <c r="A375" t="s">
        <v>25</v>
      </c>
      <c r="B375" t="s">
        <v>26</v>
      </c>
      <c r="C375" s="2">
        <v>46034</v>
      </c>
      <c r="D375">
        <v>343.1</v>
      </c>
      <c r="E375">
        <v>63.4</v>
      </c>
      <c r="F375">
        <v>1.9</v>
      </c>
      <c r="G375">
        <v>1</v>
      </c>
      <c r="H375">
        <v>60.5</v>
      </c>
      <c r="I375">
        <v>88.9</v>
      </c>
    </row>
    <row r="376" spans="1:9" x14ac:dyDescent="0.35">
      <c r="A376" t="s">
        <v>37</v>
      </c>
      <c r="B376" t="s">
        <v>38</v>
      </c>
      <c r="C376" s="2">
        <v>46026</v>
      </c>
      <c r="D376">
        <v>432.3</v>
      </c>
      <c r="E376">
        <v>84.6</v>
      </c>
      <c r="F376">
        <v>2.6</v>
      </c>
      <c r="G376">
        <v>4</v>
      </c>
      <c r="H376">
        <v>34.299999999999997</v>
      </c>
      <c r="I376">
        <v>86.5</v>
      </c>
    </row>
    <row r="377" spans="1:9" x14ac:dyDescent="0.35">
      <c r="A377" t="s">
        <v>25</v>
      </c>
      <c r="B377" t="s">
        <v>26</v>
      </c>
      <c r="C377" s="2">
        <v>46038</v>
      </c>
      <c r="D377">
        <v>84.4</v>
      </c>
      <c r="E377">
        <v>16.7</v>
      </c>
      <c r="F377">
        <v>4.4000000000000004</v>
      </c>
      <c r="G377">
        <v>3</v>
      </c>
      <c r="H377">
        <v>38.9</v>
      </c>
      <c r="I377">
        <v>91</v>
      </c>
    </row>
    <row r="378" spans="1:9" x14ac:dyDescent="0.35">
      <c r="A378" t="s">
        <v>11</v>
      </c>
      <c r="B378" t="s">
        <v>12</v>
      </c>
      <c r="C378" s="2">
        <v>46097</v>
      </c>
      <c r="D378">
        <v>296.89999999999998</v>
      </c>
      <c r="E378">
        <v>56.3</v>
      </c>
      <c r="F378">
        <v>0.5</v>
      </c>
      <c r="G378">
        <v>2</v>
      </c>
      <c r="H378">
        <v>38.9</v>
      </c>
      <c r="I378">
        <v>94.7</v>
      </c>
    </row>
    <row r="379" spans="1:9" x14ac:dyDescent="0.35">
      <c r="A379" t="s">
        <v>25</v>
      </c>
      <c r="B379" t="s">
        <v>26</v>
      </c>
      <c r="C379" s="2">
        <v>46034</v>
      </c>
      <c r="D379">
        <v>414.9</v>
      </c>
      <c r="E379">
        <v>82.3</v>
      </c>
      <c r="F379">
        <v>1.6</v>
      </c>
      <c r="G379">
        <v>1</v>
      </c>
      <c r="H379">
        <v>72.400000000000006</v>
      </c>
      <c r="I379">
        <v>85.8</v>
      </c>
    </row>
    <row r="380" spans="1:9" x14ac:dyDescent="0.35">
      <c r="A380" t="s">
        <v>41</v>
      </c>
      <c r="B380" t="s">
        <v>42</v>
      </c>
      <c r="C380" s="2">
        <v>46078</v>
      </c>
      <c r="D380">
        <v>384</v>
      </c>
      <c r="E380">
        <v>99.3</v>
      </c>
      <c r="F380">
        <v>0.3</v>
      </c>
      <c r="G380">
        <v>7</v>
      </c>
      <c r="H380">
        <v>37.799999999999997</v>
      </c>
      <c r="I380">
        <v>88.2</v>
      </c>
    </row>
    <row r="381" spans="1:9" x14ac:dyDescent="0.35">
      <c r="A381" t="s">
        <v>37</v>
      </c>
      <c r="B381" t="s">
        <v>38</v>
      </c>
      <c r="C381" s="2">
        <v>46058</v>
      </c>
      <c r="D381">
        <v>183.5</v>
      </c>
      <c r="E381">
        <v>35.4</v>
      </c>
      <c r="F381">
        <v>0.3</v>
      </c>
      <c r="G381">
        <v>4</v>
      </c>
      <c r="H381">
        <v>59.1</v>
      </c>
      <c r="I381">
        <v>92.5</v>
      </c>
    </row>
    <row r="382" spans="1:9" x14ac:dyDescent="0.35">
      <c r="A382" t="s">
        <v>13</v>
      </c>
      <c r="B382" t="s">
        <v>14</v>
      </c>
      <c r="C382" s="2">
        <v>46084</v>
      </c>
      <c r="D382">
        <v>102.6</v>
      </c>
      <c r="E382">
        <v>28.9</v>
      </c>
      <c r="F382">
        <v>0.8</v>
      </c>
      <c r="G382">
        <v>4</v>
      </c>
      <c r="H382">
        <v>58.9</v>
      </c>
      <c r="I382">
        <v>97</v>
      </c>
    </row>
    <row r="383" spans="1:9" x14ac:dyDescent="0.35">
      <c r="A383" t="s">
        <v>19</v>
      </c>
      <c r="B383" t="s">
        <v>20</v>
      </c>
      <c r="C383" s="2">
        <v>46103</v>
      </c>
      <c r="D383">
        <v>447.8</v>
      </c>
      <c r="E383">
        <v>104.9</v>
      </c>
      <c r="F383">
        <v>0.3</v>
      </c>
      <c r="G383">
        <v>7</v>
      </c>
      <c r="H383">
        <v>65.2</v>
      </c>
      <c r="I383">
        <v>90.4</v>
      </c>
    </row>
    <row r="384" spans="1:9" x14ac:dyDescent="0.35">
      <c r="A384" t="s">
        <v>13</v>
      </c>
      <c r="B384" t="s">
        <v>14</v>
      </c>
      <c r="C384" s="2">
        <v>46085</v>
      </c>
      <c r="D384">
        <v>207.3</v>
      </c>
      <c r="E384">
        <v>47.9</v>
      </c>
      <c r="F384">
        <v>1.6</v>
      </c>
      <c r="G384">
        <v>5</v>
      </c>
      <c r="H384">
        <v>38.1</v>
      </c>
      <c r="I384">
        <v>89.8</v>
      </c>
    </row>
    <row r="385" spans="1:9" x14ac:dyDescent="0.35">
      <c r="A385" t="s">
        <v>19</v>
      </c>
      <c r="B385" t="s">
        <v>20</v>
      </c>
      <c r="C385" s="2">
        <v>46026</v>
      </c>
      <c r="D385">
        <v>411.4</v>
      </c>
      <c r="E385">
        <v>83.9</v>
      </c>
      <c r="F385">
        <v>0.5</v>
      </c>
      <c r="G385">
        <v>8</v>
      </c>
      <c r="H385">
        <v>53.8</v>
      </c>
      <c r="I385">
        <v>96.5</v>
      </c>
    </row>
    <row r="386" spans="1:9" x14ac:dyDescent="0.35">
      <c r="A386" t="s">
        <v>19</v>
      </c>
      <c r="B386" t="s">
        <v>20</v>
      </c>
      <c r="C386" s="2">
        <v>46043</v>
      </c>
      <c r="D386">
        <v>117</v>
      </c>
      <c r="E386">
        <v>25.6</v>
      </c>
      <c r="F386">
        <v>1.3</v>
      </c>
      <c r="G386">
        <v>1</v>
      </c>
      <c r="H386">
        <v>64.400000000000006</v>
      </c>
      <c r="I386">
        <v>99.2</v>
      </c>
    </row>
    <row r="387" spans="1:9" x14ac:dyDescent="0.35">
      <c r="A387" t="s">
        <v>41</v>
      </c>
      <c r="B387" t="s">
        <v>42</v>
      </c>
      <c r="C387" s="2">
        <v>46072</v>
      </c>
      <c r="D387">
        <v>211.3</v>
      </c>
      <c r="E387">
        <v>41.7</v>
      </c>
      <c r="F387">
        <v>3.8</v>
      </c>
      <c r="G387">
        <v>3</v>
      </c>
      <c r="H387">
        <v>40.6</v>
      </c>
      <c r="I387">
        <v>89.8</v>
      </c>
    </row>
    <row r="388" spans="1:9" x14ac:dyDescent="0.35">
      <c r="A388" t="s">
        <v>17</v>
      </c>
      <c r="B388" t="s">
        <v>18</v>
      </c>
      <c r="C388" s="2">
        <v>46098</v>
      </c>
      <c r="D388">
        <v>90.4</v>
      </c>
      <c r="E388">
        <v>19.3</v>
      </c>
      <c r="F388">
        <v>4.3</v>
      </c>
      <c r="G388">
        <v>3</v>
      </c>
      <c r="H388">
        <v>55.3</v>
      </c>
      <c r="I388">
        <v>87.8</v>
      </c>
    </row>
    <row r="389" spans="1:9" x14ac:dyDescent="0.35">
      <c r="A389" t="s">
        <v>43</v>
      </c>
      <c r="B389" t="s">
        <v>44</v>
      </c>
      <c r="C389" s="2">
        <v>46092</v>
      </c>
      <c r="D389">
        <v>194.3</v>
      </c>
      <c r="E389">
        <v>47.1</v>
      </c>
      <c r="F389">
        <v>0.6</v>
      </c>
      <c r="G389">
        <v>4</v>
      </c>
      <c r="H389">
        <v>57.1</v>
      </c>
      <c r="I389">
        <v>85.3</v>
      </c>
    </row>
    <row r="390" spans="1:9" x14ac:dyDescent="0.35">
      <c r="A390" t="s">
        <v>43</v>
      </c>
      <c r="B390" t="s">
        <v>44</v>
      </c>
      <c r="C390" s="2">
        <v>46023</v>
      </c>
      <c r="D390">
        <v>202.7</v>
      </c>
      <c r="E390">
        <v>45.5</v>
      </c>
      <c r="F390">
        <v>3.7</v>
      </c>
      <c r="G390">
        <v>6</v>
      </c>
      <c r="H390">
        <v>62.3</v>
      </c>
      <c r="I390">
        <v>98.8</v>
      </c>
    </row>
    <row r="391" spans="1:9" x14ac:dyDescent="0.35">
      <c r="A391" t="s">
        <v>23</v>
      </c>
      <c r="B391" t="s">
        <v>24</v>
      </c>
      <c r="C391" s="2">
        <v>46030</v>
      </c>
      <c r="D391">
        <v>88.1</v>
      </c>
      <c r="E391">
        <v>20.100000000000001</v>
      </c>
      <c r="F391">
        <v>4.0999999999999996</v>
      </c>
      <c r="G391">
        <v>2</v>
      </c>
      <c r="H391">
        <v>68.099999999999994</v>
      </c>
      <c r="I391">
        <v>97.9</v>
      </c>
    </row>
    <row r="392" spans="1:9" x14ac:dyDescent="0.35">
      <c r="A392" t="s">
        <v>11</v>
      </c>
      <c r="B392" t="s">
        <v>12</v>
      </c>
      <c r="C392" s="2">
        <v>46070</v>
      </c>
      <c r="D392">
        <v>340.7</v>
      </c>
      <c r="E392">
        <v>74.3</v>
      </c>
      <c r="F392">
        <v>2.7</v>
      </c>
      <c r="G392">
        <v>6</v>
      </c>
      <c r="H392">
        <v>43.6</v>
      </c>
      <c r="I392">
        <v>87</v>
      </c>
    </row>
    <row r="393" spans="1:9" x14ac:dyDescent="0.35">
      <c r="A393" t="s">
        <v>37</v>
      </c>
      <c r="B393" t="s">
        <v>38</v>
      </c>
      <c r="C393" s="2">
        <v>46078</v>
      </c>
      <c r="D393">
        <v>373</v>
      </c>
      <c r="E393">
        <v>69.2</v>
      </c>
      <c r="F393">
        <v>3</v>
      </c>
      <c r="G393">
        <v>3</v>
      </c>
      <c r="H393">
        <v>61.8</v>
      </c>
      <c r="I393">
        <v>93.4</v>
      </c>
    </row>
    <row r="394" spans="1:9" x14ac:dyDescent="0.35">
      <c r="A394" t="s">
        <v>45</v>
      </c>
      <c r="B394" t="s">
        <v>46</v>
      </c>
      <c r="C394" s="2">
        <v>46068</v>
      </c>
      <c r="D394">
        <v>162.6</v>
      </c>
      <c r="E394">
        <v>37</v>
      </c>
      <c r="F394">
        <v>1</v>
      </c>
      <c r="G394">
        <v>5</v>
      </c>
      <c r="H394">
        <v>63</v>
      </c>
      <c r="I394">
        <v>89.4</v>
      </c>
    </row>
    <row r="395" spans="1:9" x14ac:dyDescent="0.35">
      <c r="A395" t="s">
        <v>37</v>
      </c>
      <c r="B395" t="s">
        <v>38</v>
      </c>
      <c r="C395" s="2">
        <v>46023</v>
      </c>
      <c r="D395">
        <v>431.1</v>
      </c>
      <c r="E395">
        <v>80.400000000000006</v>
      </c>
      <c r="F395">
        <v>1.9</v>
      </c>
      <c r="G395">
        <v>1</v>
      </c>
      <c r="H395">
        <v>38.200000000000003</v>
      </c>
      <c r="I395">
        <v>89.8</v>
      </c>
    </row>
    <row r="396" spans="1:9" x14ac:dyDescent="0.35">
      <c r="A396" t="s">
        <v>45</v>
      </c>
      <c r="B396" t="s">
        <v>46</v>
      </c>
      <c r="C396" s="2">
        <v>46051</v>
      </c>
      <c r="D396">
        <v>316.7</v>
      </c>
      <c r="E396">
        <v>102.8</v>
      </c>
      <c r="F396">
        <v>2.2999999999999998</v>
      </c>
      <c r="G396">
        <v>6</v>
      </c>
      <c r="H396">
        <v>63.5</v>
      </c>
      <c r="I396">
        <v>88.6</v>
      </c>
    </row>
    <row r="397" spans="1:9" x14ac:dyDescent="0.35">
      <c r="A397" t="s">
        <v>23</v>
      </c>
      <c r="B397" t="s">
        <v>24</v>
      </c>
      <c r="C397" s="2">
        <v>46044</v>
      </c>
      <c r="D397">
        <v>315.39999999999998</v>
      </c>
      <c r="E397">
        <v>58.4</v>
      </c>
      <c r="F397">
        <v>3.7</v>
      </c>
      <c r="G397">
        <v>6</v>
      </c>
      <c r="H397">
        <v>50.1</v>
      </c>
      <c r="I397">
        <v>89</v>
      </c>
    </row>
    <row r="398" spans="1:9" x14ac:dyDescent="0.35">
      <c r="A398" t="s">
        <v>19</v>
      </c>
      <c r="B398" t="s">
        <v>20</v>
      </c>
      <c r="C398" s="2">
        <v>46111</v>
      </c>
      <c r="D398">
        <v>105.1</v>
      </c>
      <c r="E398">
        <v>30.1</v>
      </c>
      <c r="F398">
        <v>0.7</v>
      </c>
      <c r="G398">
        <v>1</v>
      </c>
      <c r="H398">
        <v>32.200000000000003</v>
      </c>
      <c r="I398">
        <v>91.6</v>
      </c>
    </row>
    <row r="399" spans="1:9" x14ac:dyDescent="0.35">
      <c r="A399" t="s">
        <v>15</v>
      </c>
      <c r="B399" t="s">
        <v>16</v>
      </c>
      <c r="C399" s="2">
        <v>46044</v>
      </c>
      <c r="D399">
        <v>407.3</v>
      </c>
      <c r="E399">
        <v>98.6</v>
      </c>
      <c r="F399">
        <v>1.8</v>
      </c>
      <c r="G399">
        <v>7</v>
      </c>
      <c r="H399">
        <v>34.6</v>
      </c>
      <c r="I399">
        <v>92.2</v>
      </c>
    </row>
    <row r="400" spans="1:9" x14ac:dyDescent="0.35">
      <c r="A400" t="s">
        <v>41</v>
      </c>
      <c r="B400" t="s">
        <v>42</v>
      </c>
      <c r="C400" s="2">
        <v>46106</v>
      </c>
      <c r="D400">
        <v>360.6</v>
      </c>
      <c r="E400">
        <v>105.8</v>
      </c>
      <c r="F400">
        <v>2.1</v>
      </c>
      <c r="G400">
        <v>1</v>
      </c>
      <c r="H400">
        <v>43.3</v>
      </c>
      <c r="I400">
        <v>89.8</v>
      </c>
    </row>
    <row r="401" spans="1:9" x14ac:dyDescent="0.35">
      <c r="A401" t="s">
        <v>9</v>
      </c>
      <c r="B401" t="s">
        <v>10</v>
      </c>
      <c r="C401" s="2">
        <v>46032</v>
      </c>
      <c r="D401">
        <v>206.5</v>
      </c>
      <c r="E401">
        <v>39.700000000000003</v>
      </c>
      <c r="F401">
        <v>0.9</v>
      </c>
      <c r="G401">
        <v>2</v>
      </c>
      <c r="H401">
        <v>54.6</v>
      </c>
      <c r="I401">
        <v>98.5</v>
      </c>
    </row>
    <row r="402" spans="1:9" x14ac:dyDescent="0.35">
      <c r="A402" t="s">
        <v>11</v>
      </c>
      <c r="B402" t="s">
        <v>12</v>
      </c>
      <c r="C402" s="2">
        <v>46066</v>
      </c>
      <c r="D402">
        <v>299.8</v>
      </c>
      <c r="E402">
        <v>67.3</v>
      </c>
      <c r="F402">
        <v>2.2999999999999998</v>
      </c>
      <c r="G402">
        <v>1</v>
      </c>
      <c r="H402">
        <v>49.4</v>
      </c>
      <c r="I402">
        <v>94.8</v>
      </c>
    </row>
    <row r="403" spans="1:9" x14ac:dyDescent="0.35">
      <c r="A403" t="s">
        <v>45</v>
      </c>
      <c r="B403" t="s">
        <v>46</v>
      </c>
      <c r="C403" s="2">
        <v>46078</v>
      </c>
      <c r="D403">
        <v>138.1</v>
      </c>
      <c r="E403">
        <v>44.9</v>
      </c>
      <c r="F403">
        <v>1.1000000000000001</v>
      </c>
      <c r="G403">
        <v>4</v>
      </c>
      <c r="H403">
        <v>48.4</v>
      </c>
      <c r="I403">
        <v>93.3</v>
      </c>
    </row>
    <row r="404" spans="1:9" x14ac:dyDescent="0.35">
      <c r="A404" t="s">
        <v>13</v>
      </c>
      <c r="B404" t="s">
        <v>14</v>
      </c>
      <c r="C404" s="2">
        <v>46056</v>
      </c>
      <c r="D404">
        <v>324.39999999999998</v>
      </c>
      <c r="E404">
        <v>90</v>
      </c>
      <c r="F404">
        <v>0.6</v>
      </c>
      <c r="G404">
        <v>7</v>
      </c>
      <c r="H404">
        <v>55.7</v>
      </c>
      <c r="I404">
        <v>97.6</v>
      </c>
    </row>
    <row r="405" spans="1:9" x14ac:dyDescent="0.35">
      <c r="A405" t="s">
        <v>25</v>
      </c>
      <c r="B405" t="s">
        <v>26</v>
      </c>
      <c r="C405" s="2">
        <v>46029</v>
      </c>
      <c r="D405">
        <v>213.5</v>
      </c>
      <c r="E405">
        <v>54</v>
      </c>
      <c r="F405">
        <v>1.5</v>
      </c>
      <c r="G405">
        <v>8</v>
      </c>
      <c r="H405">
        <v>39</v>
      </c>
      <c r="I405">
        <v>85.4</v>
      </c>
    </row>
    <row r="406" spans="1:9" x14ac:dyDescent="0.35">
      <c r="A406" t="s">
        <v>37</v>
      </c>
      <c r="B406" t="s">
        <v>38</v>
      </c>
      <c r="C406" s="2">
        <v>46104</v>
      </c>
      <c r="D406">
        <v>188</v>
      </c>
      <c r="E406">
        <v>62.2</v>
      </c>
      <c r="F406">
        <v>3.8</v>
      </c>
      <c r="G406">
        <v>5</v>
      </c>
      <c r="H406">
        <v>65.3</v>
      </c>
      <c r="I406">
        <v>92.1</v>
      </c>
    </row>
    <row r="407" spans="1:9" x14ac:dyDescent="0.35">
      <c r="A407" t="s">
        <v>47</v>
      </c>
      <c r="B407" t="s">
        <v>48</v>
      </c>
      <c r="C407" s="2">
        <v>46034</v>
      </c>
      <c r="D407">
        <v>317.5</v>
      </c>
      <c r="E407">
        <v>82.5</v>
      </c>
      <c r="F407">
        <v>1.8</v>
      </c>
      <c r="G407">
        <v>7</v>
      </c>
      <c r="H407">
        <v>46.6</v>
      </c>
      <c r="I407">
        <v>91.7</v>
      </c>
    </row>
    <row r="408" spans="1:9" x14ac:dyDescent="0.35">
      <c r="A408" t="s">
        <v>47</v>
      </c>
      <c r="B408" t="s">
        <v>48</v>
      </c>
      <c r="C408" s="2">
        <v>46079</v>
      </c>
      <c r="D408">
        <v>252.1</v>
      </c>
      <c r="E408">
        <v>73.900000000000006</v>
      </c>
      <c r="F408">
        <v>1.4</v>
      </c>
      <c r="G408">
        <v>1</v>
      </c>
      <c r="H408">
        <v>36.799999999999997</v>
      </c>
      <c r="I408">
        <v>95.4</v>
      </c>
    </row>
    <row r="409" spans="1:9" x14ac:dyDescent="0.35">
      <c r="A409" t="s">
        <v>9</v>
      </c>
      <c r="B409" t="s">
        <v>10</v>
      </c>
      <c r="C409" s="2">
        <v>46033</v>
      </c>
      <c r="D409">
        <v>327.2</v>
      </c>
      <c r="E409">
        <v>65.7</v>
      </c>
      <c r="F409">
        <v>2</v>
      </c>
      <c r="G409">
        <v>4</v>
      </c>
      <c r="H409">
        <v>54.9</v>
      </c>
      <c r="I409">
        <v>97.6</v>
      </c>
    </row>
    <row r="410" spans="1:9" x14ac:dyDescent="0.35">
      <c r="A410" t="s">
        <v>31</v>
      </c>
      <c r="B410" t="s">
        <v>32</v>
      </c>
      <c r="C410" s="2">
        <v>46076</v>
      </c>
      <c r="D410">
        <v>437.3</v>
      </c>
      <c r="E410">
        <v>93.9</v>
      </c>
      <c r="F410">
        <v>4.2</v>
      </c>
      <c r="G410">
        <v>4</v>
      </c>
      <c r="H410">
        <v>51.4</v>
      </c>
      <c r="I410">
        <v>86.2</v>
      </c>
    </row>
    <row r="411" spans="1:9" x14ac:dyDescent="0.35">
      <c r="A411" t="s">
        <v>21</v>
      </c>
      <c r="B411" t="s">
        <v>22</v>
      </c>
      <c r="C411" s="2">
        <v>46087</v>
      </c>
      <c r="D411">
        <v>291.39999999999998</v>
      </c>
      <c r="E411">
        <v>69.5</v>
      </c>
      <c r="F411">
        <v>2.7</v>
      </c>
      <c r="G411">
        <v>3</v>
      </c>
      <c r="H411">
        <v>35.4</v>
      </c>
      <c r="I411">
        <v>96.4</v>
      </c>
    </row>
    <row r="412" spans="1:9" x14ac:dyDescent="0.35">
      <c r="A412" t="s">
        <v>37</v>
      </c>
      <c r="B412" t="s">
        <v>38</v>
      </c>
      <c r="C412" s="2">
        <v>46044</v>
      </c>
      <c r="D412">
        <v>439.7</v>
      </c>
      <c r="E412">
        <v>88.2</v>
      </c>
      <c r="F412">
        <v>0.7</v>
      </c>
      <c r="G412">
        <v>7</v>
      </c>
      <c r="H412">
        <v>33.5</v>
      </c>
      <c r="I412">
        <v>95.2</v>
      </c>
    </row>
    <row r="413" spans="1:9" x14ac:dyDescent="0.35">
      <c r="A413" t="s">
        <v>33</v>
      </c>
      <c r="B413" t="s">
        <v>34</v>
      </c>
      <c r="C413" s="2">
        <v>46103</v>
      </c>
      <c r="D413">
        <v>134.69999999999999</v>
      </c>
      <c r="E413">
        <v>30.6</v>
      </c>
      <c r="F413">
        <v>1.6</v>
      </c>
      <c r="G413">
        <v>2</v>
      </c>
      <c r="H413">
        <v>33.9</v>
      </c>
      <c r="I413">
        <v>93.3</v>
      </c>
    </row>
    <row r="414" spans="1:9" x14ac:dyDescent="0.35">
      <c r="A414" t="s">
        <v>13</v>
      </c>
      <c r="B414" t="s">
        <v>14</v>
      </c>
      <c r="C414" s="2">
        <v>46064</v>
      </c>
      <c r="D414">
        <v>397</v>
      </c>
      <c r="E414">
        <v>94.5</v>
      </c>
      <c r="F414">
        <v>4.0999999999999996</v>
      </c>
      <c r="G414">
        <v>1</v>
      </c>
      <c r="H414">
        <v>65.400000000000006</v>
      </c>
      <c r="I414">
        <v>94.3</v>
      </c>
    </row>
    <row r="415" spans="1:9" x14ac:dyDescent="0.35">
      <c r="A415" t="s">
        <v>31</v>
      </c>
      <c r="B415" t="s">
        <v>32</v>
      </c>
      <c r="C415" s="2">
        <v>46076</v>
      </c>
      <c r="D415">
        <v>121.6</v>
      </c>
      <c r="E415">
        <v>38</v>
      </c>
      <c r="F415">
        <v>2.6</v>
      </c>
      <c r="G415">
        <v>2</v>
      </c>
      <c r="H415">
        <v>71.599999999999994</v>
      </c>
      <c r="I415">
        <v>93.4</v>
      </c>
    </row>
    <row r="416" spans="1:9" x14ac:dyDescent="0.35">
      <c r="A416" t="s">
        <v>9</v>
      </c>
      <c r="B416" t="s">
        <v>10</v>
      </c>
      <c r="C416" s="2">
        <v>46059</v>
      </c>
      <c r="D416">
        <v>401</v>
      </c>
      <c r="E416">
        <v>77.5</v>
      </c>
      <c r="F416">
        <v>4</v>
      </c>
      <c r="G416">
        <v>5</v>
      </c>
      <c r="H416">
        <v>47.2</v>
      </c>
      <c r="I416">
        <v>92.3</v>
      </c>
    </row>
    <row r="417" spans="1:9" x14ac:dyDescent="0.35">
      <c r="A417" t="s">
        <v>45</v>
      </c>
      <c r="B417" t="s">
        <v>46</v>
      </c>
      <c r="C417" s="2">
        <v>46083</v>
      </c>
      <c r="D417">
        <v>93.9</v>
      </c>
      <c r="E417">
        <v>26.5</v>
      </c>
      <c r="F417">
        <v>0.8</v>
      </c>
      <c r="G417">
        <v>7</v>
      </c>
      <c r="H417">
        <v>31.7</v>
      </c>
      <c r="I417">
        <v>98.3</v>
      </c>
    </row>
    <row r="418" spans="1:9" x14ac:dyDescent="0.35">
      <c r="A418" t="s">
        <v>23</v>
      </c>
      <c r="B418" t="s">
        <v>24</v>
      </c>
      <c r="C418" s="2">
        <v>46111</v>
      </c>
      <c r="D418">
        <v>167.9</v>
      </c>
      <c r="E418">
        <v>34.9</v>
      </c>
      <c r="F418">
        <v>4.2</v>
      </c>
      <c r="G418">
        <v>6</v>
      </c>
      <c r="H418">
        <v>30.9</v>
      </c>
      <c r="I418">
        <v>97.3</v>
      </c>
    </row>
    <row r="419" spans="1:9" x14ac:dyDescent="0.35">
      <c r="A419" t="s">
        <v>29</v>
      </c>
      <c r="B419" t="s">
        <v>30</v>
      </c>
      <c r="C419" s="2">
        <v>46062</v>
      </c>
      <c r="D419">
        <v>183.7</v>
      </c>
      <c r="E419">
        <v>44.5</v>
      </c>
      <c r="F419">
        <v>3.2</v>
      </c>
      <c r="G419">
        <v>2</v>
      </c>
      <c r="H419">
        <v>73.8</v>
      </c>
      <c r="I419">
        <v>88.4</v>
      </c>
    </row>
    <row r="420" spans="1:9" x14ac:dyDescent="0.35">
      <c r="A420" t="s">
        <v>29</v>
      </c>
      <c r="B420" t="s">
        <v>30</v>
      </c>
      <c r="C420" s="2">
        <v>46079</v>
      </c>
      <c r="D420">
        <v>366.4</v>
      </c>
      <c r="E420">
        <v>99.9</v>
      </c>
      <c r="F420">
        <v>3.3</v>
      </c>
      <c r="G420">
        <v>2</v>
      </c>
      <c r="H420">
        <v>38.5</v>
      </c>
      <c r="I420">
        <v>88.2</v>
      </c>
    </row>
    <row r="421" spans="1:9" x14ac:dyDescent="0.35">
      <c r="A421" t="s">
        <v>15</v>
      </c>
      <c r="B421" t="s">
        <v>16</v>
      </c>
      <c r="C421" s="2">
        <v>46085</v>
      </c>
      <c r="D421">
        <v>361</v>
      </c>
      <c r="E421">
        <v>70.2</v>
      </c>
      <c r="F421">
        <v>3.7</v>
      </c>
      <c r="G421">
        <v>3</v>
      </c>
      <c r="H421">
        <v>33</v>
      </c>
      <c r="I421">
        <v>95.6</v>
      </c>
    </row>
    <row r="422" spans="1:9" x14ac:dyDescent="0.35">
      <c r="A422" t="s">
        <v>39</v>
      </c>
      <c r="B422" t="s">
        <v>40</v>
      </c>
      <c r="C422" s="2">
        <v>46040</v>
      </c>
      <c r="D422">
        <v>368.8</v>
      </c>
      <c r="E422">
        <v>87.5</v>
      </c>
      <c r="F422">
        <v>2.6</v>
      </c>
      <c r="G422">
        <v>3</v>
      </c>
      <c r="H422">
        <v>38.700000000000003</v>
      </c>
      <c r="I422">
        <v>97.5</v>
      </c>
    </row>
    <row r="423" spans="1:9" x14ac:dyDescent="0.35">
      <c r="A423" t="s">
        <v>21</v>
      </c>
      <c r="B423" t="s">
        <v>22</v>
      </c>
      <c r="C423" s="2">
        <v>46054</v>
      </c>
      <c r="D423">
        <v>92.2</v>
      </c>
      <c r="E423">
        <v>31.4</v>
      </c>
      <c r="F423">
        <v>1.7</v>
      </c>
      <c r="G423">
        <v>4</v>
      </c>
      <c r="H423">
        <v>42.3</v>
      </c>
      <c r="I423">
        <v>97.4</v>
      </c>
    </row>
    <row r="424" spans="1:9" x14ac:dyDescent="0.35">
      <c r="A424" t="s">
        <v>31</v>
      </c>
      <c r="B424" t="s">
        <v>32</v>
      </c>
      <c r="C424" s="2">
        <v>46073</v>
      </c>
      <c r="D424">
        <v>315.10000000000002</v>
      </c>
      <c r="E424">
        <v>100.5</v>
      </c>
      <c r="F424">
        <v>0.3</v>
      </c>
      <c r="G424">
        <v>6</v>
      </c>
      <c r="H424">
        <v>52</v>
      </c>
      <c r="I424">
        <v>91.7</v>
      </c>
    </row>
    <row r="425" spans="1:9" x14ac:dyDescent="0.35">
      <c r="A425" t="s">
        <v>43</v>
      </c>
      <c r="B425" t="s">
        <v>44</v>
      </c>
      <c r="C425" s="2">
        <v>46098</v>
      </c>
      <c r="D425">
        <v>284</v>
      </c>
      <c r="E425">
        <v>76.2</v>
      </c>
      <c r="F425">
        <v>3.8</v>
      </c>
      <c r="G425">
        <v>5</v>
      </c>
      <c r="H425">
        <v>63.7</v>
      </c>
      <c r="I425">
        <v>95.3</v>
      </c>
    </row>
    <row r="426" spans="1:9" x14ac:dyDescent="0.35">
      <c r="A426" t="s">
        <v>29</v>
      </c>
      <c r="B426" t="s">
        <v>30</v>
      </c>
      <c r="C426" s="2">
        <v>46026</v>
      </c>
      <c r="D426">
        <v>223</v>
      </c>
      <c r="E426">
        <v>68.8</v>
      </c>
      <c r="F426">
        <v>2.7</v>
      </c>
      <c r="G426">
        <v>4</v>
      </c>
      <c r="H426">
        <v>68.599999999999994</v>
      </c>
      <c r="I426">
        <v>94.7</v>
      </c>
    </row>
    <row r="427" spans="1:9" x14ac:dyDescent="0.35">
      <c r="A427" t="s">
        <v>33</v>
      </c>
      <c r="B427" t="s">
        <v>34</v>
      </c>
      <c r="C427" s="2">
        <v>46057</v>
      </c>
      <c r="D427">
        <v>321.10000000000002</v>
      </c>
      <c r="E427">
        <v>76.7</v>
      </c>
      <c r="F427">
        <v>3.9</v>
      </c>
      <c r="G427">
        <v>1</v>
      </c>
      <c r="H427">
        <v>51.3</v>
      </c>
      <c r="I427">
        <v>87</v>
      </c>
    </row>
    <row r="428" spans="1:9" x14ac:dyDescent="0.35">
      <c r="A428" t="s">
        <v>37</v>
      </c>
      <c r="B428" t="s">
        <v>38</v>
      </c>
      <c r="C428" s="2">
        <v>46099</v>
      </c>
      <c r="D428">
        <v>376.3</v>
      </c>
      <c r="E428">
        <v>110.5</v>
      </c>
      <c r="F428">
        <v>2.8</v>
      </c>
      <c r="G428">
        <v>5</v>
      </c>
      <c r="H428">
        <v>62.1</v>
      </c>
      <c r="I428">
        <v>95.6</v>
      </c>
    </row>
    <row r="429" spans="1:9" x14ac:dyDescent="0.35">
      <c r="A429" t="s">
        <v>47</v>
      </c>
      <c r="B429" t="s">
        <v>48</v>
      </c>
      <c r="C429" s="2">
        <v>46077</v>
      </c>
      <c r="D429">
        <v>411.3</v>
      </c>
      <c r="E429">
        <v>80.7</v>
      </c>
      <c r="F429">
        <v>2.2000000000000002</v>
      </c>
      <c r="G429">
        <v>4</v>
      </c>
      <c r="H429">
        <v>51</v>
      </c>
      <c r="I429">
        <v>95.2</v>
      </c>
    </row>
    <row r="430" spans="1:9" x14ac:dyDescent="0.35">
      <c r="A430" t="s">
        <v>45</v>
      </c>
      <c r="B430" t="s">
        <v>46</v>
      </c>
      <c r="C430" s="2">
        <v>46073</v>
      </c>
      <c r="D430">
        <v>296.3</v>
      </c>
      <c r="E430">
        <v>105.1</v>
      </c>
      <c r="F430">
        <v>4.5</v>
      </c>
      <c r="G430">
        <v>6</v>
      </c>
      <c r="H430">
        <v>55.3</v>
      </c>
      <c r="I430">
        <v>93.9</v>
      </c>
    </row>
    <row r="431" spans="1:9" x14ac:dyDescent="0.35">
      <c r="A431" t="s">
        <v>29</v>
      </c>
      <c r="B431" t="s">
        <v>30</v>
      </c>
      <c r="C431" s="2">
        <v>46061</v>
      </c>
      <c r="D431">
        <v>333.2</v>
      </c>
      <c r="E431">
        <v>81.3</v>
      </c>
      <c r="F431">
        <v>1.6</v>
      </c>
      <c r="G431">
        <v>5</v>
      </c>
      <c r="H431">
        <v>58.8</v>
      </c>
      <c r="I431">
        <v>97.9</v>
      </c>
    </row>
    <row r="432" spans="1:9" x14ac:dyDescent="0.35">
      <c r="A432" t="s">
        <v>47</v>
      </c>
      <c r="B432" t="s">
        <v>48</v>
      </c>
      <c r="C432" s="2">
        <v>46106</v>
      </c>
      <c r="D432">
        <v>343.1</v>
      </c>
      <c r="E432">
        <v>65.900000000000006</v>
      </c>
      <c r="F432">
        <v>1.5</v>
      </c>
      <c r="G432">
        <v>3</v>
      </c>
      <c r="H432">
        <v>53.3</v>
      </c>
      <c r="I432">
        <v>88.6</v>
      </c>
    </row>
    <row r="433" spans="1:9" x14ac:dyDescent="0.35">
      <c r="A433" t="s">
        <v>21</v>
      </c>
      <c r="B433" t="s">
        <v>22</v>
      </c>
      <c r="C433" s="2">
        <v>46099</v>
      </c>
      <c r="D433">
        <v>229.5</v>
      </c>
      <c r="E433">
        <v>62.7</v>
      </c>
      <c r="F433">
        <v>0.8</v>
      </c>
      <c r="G433">
        <v>1</v>
      </c>
      <c r="H433">
        <v>59.5</v>
      </c>
      <c r="I433">
        <v>100</v>
      </c>
    </row>
    <row r="434" spans="1:9" x14ac:dyDescent="0.35">
      <c r="A434" t="s">
        <v>47</v>
      </c>
      <c r="B434" t="s">
        <v>48</v>
      </c>
      <c r="C434" s="2">
        <v>46076</v>
      </c>
      <c r="D434">
        <v>229.7</v>
      </c>
      <c r="E434">
        <v>48</v>
      </c>
      <c r="F434">
        <v>2.7</v>
      </c>
      <c r="G434">
        <v>4</v>
      </c>
      <c r="H434">
        <v>45.4</v>
      </c>
      <c r="I434">
        <v>95.7</v>
      </c>
    </row>
    <row r="435" spans="1:9" x14ac:dyDescent="0.35">
      <c r="A435" t="s">
        <v>13</v>
      </c>
      <c r="B435" t="s">
        <v>14</v>
      </c>
      <c r="C435" s="2">
        <v>46104</v>
      </c>
      <c r="D435">
        <v>370.4</v>
      </c>
      <c r="E435">
        <v>70.599999999999994</v>
      </c>
      <c r="F435">
        <v>3.1</v>
      </c>
      <c r="G435">
        <v>5</v>
      </c>
      <c r="H435">
        <v>68</v>
      </c>
      <c r="I435">
        <v>97.6</v>
      </c>
    </row>
    <row r="436" spans="1:9" x14ac:dyDescent="0.35">
      <c r="A436" t="s">
        <v>13</v>
      </c>
      <c r="B436" t="s">
        <v>14</v>
      </c>
      <c r="C436" s="2">
        <v>46046</v>
      </c>
      <c r="D436">
        <v>188.7</v>
      </c>
      <c r="E436">
        <v>46.4</v>
      </c>
      <c r="F436">
        <v>3.4</v>
      </c>
      <c r="G436">
        <v>3</v>
      </c>
      <c r="H436">
        <v>72.599999999999994</v>
      </c>
      <c r="I436">
        <v>98.5</v>
      </c>
    </row>
    <row r="437" spans="1:9" x14ac:dyDescent="0.35">
      <c r="A437" t="s">
        <v>11</v>
      </c>
      <c r="B437" t="s">
        <v>12</v>
      </c>
      <c r="C437" s="2">
        <v>46051</v>
      </c>
      <c r="D437">
        <v>211.5</v>
      </c>
      <c r="E437">
        <v>44</v>
      </c>
      <c r="F437">
        <v>1.5</v>
      </c>
      <c r="G437">
        <v>6</v>
      </c>
      <c r="H437">
        <v>46.7</v>
      </c>
      <c r="I437">
        <v>93.8</v>
      </c>
    </row>
    <row r="438" spans="1:9" x14ac:dyDescent="0.35">
      <c r="A438" t="s">
        <v>35</v>
      </c>
      <c r="B438" t="s">
        <v>36</v>
      </c>
      <c r="C438" s="2">
        <v>46038</v>
      </c>
      <c r="D438">
        <v>254.1</v>
      </c>
      <c r="E438">
        <v>49.4</v>
      </c>
      <c r="F438">
        <v>2.7</v>
      </c>
      <c r="G438">
        <v>2</v>
      </c>
      <c r="H438">
        <v>51.2</v>
      </c>
      <c r="I438">
        <v>87.9</v>
      </c>
    </row>
    <row r="439" spans="1:9" x14ac:dyDescent="0.35">
      <c r="A439" t="s">
        <v>9</v>
      </c>
      <c r="B439" t="s">
        <v>10</v>
      </c>
      <c r="C439" s="2">
        <v>46110</v>
      </c>
      <c r="D439">
        <v>221.2</v>
      </c>
      <c r="E439">
        <v>61.3</v>
      </c>
      <c r="F439">
        <v>0.4</v>
      </c>
      <c r="G439">
        <v>3</v>
      </c>
      <c r="H439">
        <v>36.200000000000003</v>
      </c>
      <c r="I439">
        <v>88</v>
      </c>
    </row>
    <row r="440" spans="1:9" x14ac:dyDescent="0.35">
      <c r="A440" t="s">
        <v>15</v>
      </c>
      <c r="B440" t="s">
        <v>16</v>
      </c>
      <c r="C440" s="2">
        <v>46095</v>
      </c>
      <c r="D440">
        <v>410.4</v>
      </c>
      <c r="E440">
        <v>75.099999999999994</v>
      </c>
      <c r="F440">
        <v>0.8</v>
      </c>
      <c r="G440">
        <v>3</v>
      </c>
      <c r="H440">
        <v>65.099999999999994</v>
      </c>
      <c r="I440">
        <v>92.3</v>
      </c>
    </row>
    <row r="441" spans="1:9" x14ac:dyDescent="0.35">
      <c r="A441" t="s">
        <v>37</v>
      </c>
      <c r="B441" t="s">
        <v>38</v>
      </c>
      <c r="C441" s="2">
        <v>46063</v>
      </c>
      <c r="D441">
        <v>314.8</v>
      </c>
      <c r="E441">
        <v>111.9</v>
      </c>
      <c r="F441">
        <v>1.4</v>
      </c>
      <c r="G441">
        <v>3</v>
      </c>
      <c r="H441">
        <v>55.9</v>
      </c>
      <c r="I441">
        <v>87.4</v>
      </c>
    </row>
    <row r="442" spans="1:9" x14ac:dyDescent="0.35">
      <c r="A442" t="s">
        <v>11</v>
      </c>
      <c r="B442" t="s">
        <v>12</v>
      </c>
      <c r="C442" s="2">
        <v>46039</v>
      </c>
      <c r="D442">
        <v>307.39999999999998</v>
      </c>
      <c r="E442">
        <v>68.2</v>
      </c>
      <c r="F442">
        <v>1.9</v>
      </c>
      <c r="G442">
        <v>8</v>
      </c>
      <c r="H442">
        <v>47.2</v>
      </c>
      <c r="I442">
        <v>85.6</v>
      </c>
    </row>
    <row r="443" spans="1:9" x14ac:dyDescent="0.35">
      <c r="A443" t="s">
        <v>33</v>
      </c>
      <c r="B443" t="s">
        <v>34</v>
      </c>
      <c r="C443" s="2">
        <v>46070</v>
      </c>
      <c r="D443">
        <v>431.5</v>
      </c>
      <c r="E443">
        <v>82.8</v>
      </c>
      <c r="F443">
        <v>3.5</v>
      </c>
      <c r="G443">
        <v>4</v>
      </c>
      <c r="H443">
        <v>30.8</v>
      </c>
      <c r="I443">
        <v>85.1</v>
      </c>
    </row>
    <row r="444" spans="1:9" x14ac:dyDescent="0.35">
      <c r="A444" t="s">
        <v>19</v>
      </c>
      <c r="B444" t="s">
        <v>20</v>
      </c>
      <c r="C444" s="2">
        <v>46051</v>
      </c>
      <c r="D444">
        <v>336.6</v>
      </c>
      <c r="E444">
        <v>90.2</v>
      </c>
      <c r="F444">
        <v>0.8</v>
      </c>
      <c r="G444">
        <v>7</v>
      </c>
      <c r="H444">
        <v>52.7</v>
      </c>
      <c r="I444">
        <v>89.6</v>
      </c>
    </row>
    <row r="445" spans="1:9" x14ac:dyDescent="0.35">
      <c r="A445" t="s">
        <v>11</v>
      </c>
      <c r="B445" t="s">
        <v>12</v>
      </c>
      <c r="C445" s="2">
        <v>46028</v>
      </c>
      <c r="D445">
        <v>190.3</v>
      </c>
      <c r="E445">
        <v>53.1</v>
      </c>
      <c r="F445">
        <v>3.3</v>
      </c>
      <c r="G445">
        <v>6</v>
      </c>
      <c r="H445">
        <v>49.5</v>
      </c>
      <c r="I445">
        <v>95.3</v>
      </c>
    </row>
    <row r="446" spans="1:9" x14ac:dyDescent="0.35">
      <c r="A446" t="s">
        <v>25</v>
      </c>
      <c r="B446" t="s">
        <v>26</v>
      </c>
      <c r="C446" s="2">
        <v>46066</v>
      </c>
      <c r="D446">
        <v>448.6</v>
      </c>
      <c r="E446">
        <v>108.8</v>
      </c>
      <c r="F446">
        <v>3.4</v>
      </c>
      <c r="G446">
        <v>3</v>
      </c>
      <c r="H446">
        <v>72.7</v>
      </c>
      <c r="I446">
        <v>98.8</v>
      </c>
    </row>
    <row r="447" spans="1:9" x14ac:dyDescent="0.35">
      <c r="A447" t="s">
        <v>39</v>
      </c>
      <c r="B447" t="s">
        <v>40</v>
      </c>
      <c r="C447" s="2">
        <v>46025</v>
      </c>
      <c r="D447">
        <v>164.5</v>
      </c>
      <c r="E447">
        <v>34.5</v>
      </c>
      <c r="F447">
        <v>0.8</v>
      </c>
      <c r="G447">
        <v>1</v>
      </c>
      <c r="H447">
        <v>56.5</v>
      </c>
      <c r="I447">
        <v>87.5</v>
      </c>
    </row>
    <row r="448" spans="1:9" x14ac:dyDescent="0.35">
      <c r="A448" t="s">
        <v>17</v>
      </c>
      <c r="B448" t="s">
        <v>18</v>
      </c>
      <c r="C448" s="2">
        <v>46106</v>
      </c>
      <c r="D448">
        <v>373.1</v>
      </c>
      <c r="E448">
        <v>97.8</v>
      </c>
      <c r="F448">
        <v>3</v>
      </c>
      <c r="G448">
        <v>1</v>
      </c>
      <c r="H448">
        <v>56.7</v>
      </c>
      <c r="I448">
        <v>85.7</v>
      </c>
    </row>
    <row r="449" spans="1:9" x14ac:dyDescent="0.35">
      <c r="A449" t="s">
        <v>9</v>
      </c>
      <c r="B449" t="s">
        <v>10</v>
      </c>
      <c r="C449" s="2">
        <v>46106</v>
      </c>
      <c r="D449">
        <v>389.4</v>
      </c>
      <c r="E449">
        <v>132.9</v>
      </c>
      <c r="F449">
        <v>0.7</v>
      </c>
      <c r="G449">
        <v>8</v>
      </c>
      <c r="H449">
        <v>47.1</v>
      </c>
      <c r="I449">
        <v>93.2</v>
      </c>
    </row>
    <row r="450" spans="1:9" x14ac:dyDescent="0.35">
      <c r="A450" t="s">
        <v>43</v>
      </c>
      <c r="B450" t="s">
        <v>44</v>
      </c>
      <c r="C450" s="2">
        <v>46112</v>
      </c>
      <c r="D450">
        <v>136.69999999999999</v>
      </c>
      <c r="E450">
        <v>29.2</v>
      </c>
      <c r="F450">
        <v>2.9</v>
      </c>
      <c r="G450">
        <v>5</v>
      </c>
      <c r="H450">
        <v>48.9</v>
      </c>
      <c r="I450">
        <v>86.5</v>
      </c>
    </row>
    <row r="451" spans="1:9" x14ac:dyDescent="0.35">
      <c r="A451" t="s">
        <v>31</v>
      </c>
      <c r="B451" t="s">
        <v>32</v>
      </c>
      <c r="C451" s="2">
        <v>46057</v>
      </c>
      <c r="D451">
        <v>310.39999999999998</v>
      </c>
      <c r="E451">
        <v>66.2</v>
      </c>
      <c r="F451">
        <v>2</v>
      </c>
      <c r="G451">
        <v>2</v>
      </c>
      <c r="H451">
        <v>53</v>
      </c>
      <c r="I451">
        <v>94.3</v>
      </c>
    </row>
    <row r="452" spans="1:9" x14ac:dyDescent="0.35">
      <c r="A452" t="s">
        <v>29</v>
      </c>
      <c r="B452" t="s">
        <v>30</v>
      </c>
      <c r="C452" s="2">
        <v>46037</v>
      </c>
      <c r="D452">
        <v>370.4</v>
      </c>
      <c r="E452">
        <v>89.4</v>
      </c>
      <c r="F452">
        <v>2.8</v>
      </c>
      <c r="G452">
        <v>5</v>
      </c>
      <c r="H452">
        <v>67.400000000000006</v>
      </c>
      <c r="I452">
        <v>99.6</v>
      </c>
    </row>
    <row r="453" spans="1:9" x14ac:dyDescent="0.35">
      <c r="A453" t="s">
        <v>17</v>
      </c>
      <c r="B453" t="s">
        <v>18</v>
      </c>
      <c r="C453" s="2">
        <v>46075</v>
      </c>
      <c r="D453">
        <v>189.3</v>
      </c>
      <c r="E453">
        <v>65.099999999999994</v>
      </c>
      <c r="F453">
        <v>2.2999999999999998</v>
      </c>
      <c r="G453">
        <v>4</v>
      </c>
      <c r="H453">
        <v>61</v>
      </c>
      <c r="I453">
        <v>92.2</v>
      </c>
    </row>
    <row r="454" spans="1:9" x14ac:dyDescent="0.35">
      <c r="A454" t="s">
        <v>19</v>
      </c>
      <c r="B454" t="s">
        <v>20</v>
      </c>
      <c r="C454" s="2">
        <v>46023</v>
      </c>
      <c r="D454">
        <v>84.7</v>
      </c>
      <c r="E454">
        <v>27.9</v>
      </c>
      <c r="F454">
        <v>2.2999999999999998</v>
      </c>
      <c r="G454">
        <v>8</v>
      </c>
      <c r="H454">
        <v>36.700000000000003</v>
      </c>
      <c r="I454">
        <v>86.4</v>
      </c>
    </row>
    <row r="455" spans="1:9" x14ac:dyDescent="0.35">
      <c r="A455" t="s">
        <v>31</v>
      </c>
      <c r="B455" t="s">
        <v>32</v>
      </c>
      <c r="C455" s="2">
        <v>46032</v>
      </c>
      <c r="D455">
        <v>347.7</v>
      </c>
      <c r="E455">
        <v>113.1</v>
      </c>
      <c r="F455">
        <v>1.3</v>
      </c>
      <c r="G455">
        <v>4</v>
      </c>
      <c r="H455">
        <v>50.6</v>
      </c>
      <c r="I455">
        <v>99.7</v>
      </c>
    </row>
    <row r="456" spans="1:9" x14ac:dyDescent="0.35">
      <c r="A456" t="s">
        <v>47</v>
      </c>
      <c r="B456" t="s">
        <v>48</v>
      </c>
      <c r="C456" s="2">
        <v>46082</v>
      </c>
      <c r="D456">
        <v>98.5</v>
      </c>
      <c r="E456">
        <v>19.7</v>
      </c>
      <c r="F456">
        <v>4</v>
      </c>
      <c r="G456">
        <v>5</v>
      </c>
      <c r="H456">
        <v>46.2</v>
      </c>
      <c r="I456">
        <v>95.2</v>
      </c>
    </row>
    <row r="457" spans="1:9" x14ac:dyDescent="0.35">
      <c r="A457" t="s">
        <v>15</v>
      </c>
      <c r="B457" t="s">
        <v>16</v>
      </c>
      <c r="C457" s="2">
        <v>46037</v>
      </c>
      <c r="D457">
        <v>115.1</v>
      </c>
      <c r="E457">
        <v>23.7</v>
      </c>
      <c r="F457">
        <v>0.4</v>
      </c>
      <c r="G457">
        <v>3</v>
      </c>
      <c r="H457">
        <v>59.9</v>
      </c>
      <c r="I457">
        <v>87.6</v>
      </c>
    </row>
    <row r="458" spans="1:9" x14ac:dyDescent="0.35">
      <c r="A458" t="s">
        <v>17</v>
      </c>
      <c r="B458" t="s">
        <v>18</v>
      </c>
      <c r="C458" s="2">
        <v>46079</v>
      </c>
      <c r="D458">
        <v>433.4</v>
      </c>
      <c r="E458">
        <v>123</v>
      </c>
      <c r="F458">
        <v>3.4</v>
      </c>
      <c r="G458">
        <v>6</v>
      </c>
      <c r="H458">
        <v>66.7</v>
      </c>
      <c r="I458">
        <v>87.7</v>
      </c>
    </row>
    <row r="459" spans="1:9" x14ac:dyDescent="0.35">
      <c r="A459" t="s">
        <v>39</v>
      </c>
      <c r="B459" t="s">
        <v>40</v>
      </c>
      <c r="C459" s="2">
        <v>46074</v>
      </c>
      <c r="D459">
        <v>436.1</v>
      </c>
      <c r="E459">
        <v>123.4</v>
      </c>
      <c r="F459">
        <v>1.9</v>
      </c>
      <c r="G459">
        <v>8</v>
      </c>
      <c r="H459">
        <v>66</v>
      </c>
      <c r="I459">
        <v>94.7</v>
      </c>
    </row>
    <row r="460" spans="1:9" x14ac:dyDescent="0.35">
      <c r="A460" t="s">
        <v>37</v>
      </c>
      <c r="B460" t="s">
        <v>38</v>
      </c>
      <c r="C460" s="2">
        <v>46037</v>
      </c>
      <c r="D460">
        <v>129</v>
      </c>
      <c r="E460">
        <v>27.1</v>
      </c>
      <c r="F460">
        <v>4.4000000000000004</v>
      </c>
      <c r="G460">
        <v>3</v>
      </c>
      <c r="H460">
        <v>34.700000000000003</v>
      </c>
      <c r="I460">
        <v>98.7</v>
      </c>
    </row>
    <row r="461" spans="1:9" x14ac:dyDescent="0.35">
      <c r="A461" t="s">
        <v>43</v>
      </c>
      <c r="B461" t="s">
        <v>44</v>
      </c>
      <c r="C461" s="2">
        <v>46095</v>
      </c>
      <c r="D461">
        <v>331</v>
      </c>
      <c r="E461">
        <v>100.6</v>
      </c>
      <c r="F461">
        <v>1.8</v>
      </c>
      <c r="G461">
        <v>6</v>
      </c>
      <c r="H461">
        <v>57.5</v>
      </c>
      <c r="I461">
        <v>97.9</v>
      </c>
    </row>
    <row r="462" spans="1:9" x14ac:dyDescent="0.35">
      <c r="A462" t="s">
        <v>25</v>
      </c>
      <c r="B462" t="s">
        <v>26</v>
      </c>
      <c r="C462" s="2">
        <v>46084</v>
      </c>
      <c r="D462">
        <v>420.5</v>
      </c>
      <c r="E462">
        <v>135.4</v>
      </c>
      <c r="F462">
        <v>2</v>
      </c>
      <c r="G462">
        <v>1</v>
      </c>
      <c r="H462">
        <v>32.9</v>
      </c>
      <c r="I462">
        <v>94.8</v>
      </c>
    </row>
    <row r="463" spans="1:9" x14ac:dyDescent="0.35">
      <c r="A463" t="s">
        <v>27</v>
      </c>
      <c r="B463" t="s">
        <v>28</v>
      </c>
      <c r="C463" s="2">
        <v>46109</v>
      </c>
      <c r="D463">
        <v>274.2</v>
      </c>
      <c r="E463">
        <v>57</v>
      </c>
      <c r="F463">
        <v>3.3</v>
      </c>
      <c r="G463">
        <v>4</v>
      </c>
      <c r="H463">
        <v>74</v>
      </c>
      <c r="I463">
        <v>95</v>
      </c>
    </row>
    <row r="464" spans="1:9" x14ac:dyDescent="0.35">
      <c r="A464" t="s">
        <v>23</v>
      </c>
      <c r="B464" t="s">
        <v>24</v>
      </c>
      <c r="C464" s="2">
        <v>46089</v>
      </c>
      <c r="D464">
        <v>273.5</v>
      </c>
      <c r="E464">
        <v>58.3</v>
      </c>
      <c r="F464">
        <v>0.6</v>
      </c>
      <c r="G464">
        <v>4</v>
      </c>
      <c r="H464">
        <v>51.7</v>
      </c>
      <c r="I464">
        <v>95</v>
      </c>
    </row>
    <row r="465" spans="1:9" x14ac:dyDescent="0.35">
      <c r="A465" t="s">
        <v>39</v>
      </c>
      <c r="B465" t="s">
        <v>40</v>
      </c>
      <c r="C465" s="2">
        <v>46042</v>
      </c>
      <c r="D465">
        <v>390.4</v>
      </c>
      <c r="E465">
        <v>90.6</v>
      </c>
      <c r="F465">
        <v>4.4000000000000004</v>
      </c>
      <c r="G465">
        <v>1</v>
      </c>
      <c r="H465">
        <v>30.5</v>
      </c>
      <c r="I465">
        <v>99</v>
      </c>
    </row>
    <row r="466" spans="1:9" x14ac:dyDescent="0.35">
      <c r="A466" t="s">
        <v>31</v>
      </c>
      <c r="B466" t="s">
        <v>32</v>
      </c>
      <c r="C466" s="2">
        <v>46083</v>
      </c>
      <c r="D466">
        <v>395.2</v>
      </c>
      <c r="E466">
        <v>76.8</v>
      </c>
      <c r="F466">
        <v>0.5</v>
      </c>
      <c r="G466">
        <v>8</v>
      </c>
      <c r="H466">
        <v>44.4</v>
      </c>
      <c r="I466">
        <v>90</v>
      </c>
    </row>
    <row r="467" spans="1:9" x14ac:dyDescent="0.35">
      <c r="A467" t="s">
        <v>47</v>
      </c>
      <c r="B467" t="s">
        <v>48</v>
      </c>
      <c r="C467" s="2">
        <v>46029</v>
      </c>
      <c r="D467">
        <v>267.60000000000002</v>
      </c>
      <c r="E467">
        <v>62.4</v>
      </c>
      <c r="F467">
        <v>1.8</v>
      </c>
      <c r="G467">
        <v>4</v>
      </c>
      <c r="H467">
        <v>33.5</v>
      </c>
      <c r="I467">
        <v>91.7</v>
      </c>
    </row>
    <row r="468" spans="1:9" x14ac:dyDescent="0.35">
      <c r="A468" t="s">
        <v>41</v>
      </c>
      <c r="B468" t="s">
        <v>42</v>
      </c>
      <c r="C468" s="2">
        <v>46080</v>
      </c>
      <c r="D468">
        <v>112.6</v>
      </c>
      <c r="E468">
        <v>27.2</v>
      </c>
      <c r="F468">
        <v>1.6</v>
      </c>
      <c r="G468">
        <v>8</v>
      </c>
      <c r="H468">
        <v>63.5</v>
      </c>
      <c r="I468">
        <v>85.3</v>
      </c>
    </row>
    <row r="469" spans="1:9" x14ac:dyDescent="0.35">
      <c r="A469" t="s">
        <v>39</v>
      </c>
      <c r="B469" t="s">
        <v>40</v>
      </c>
      <c r="C469" s="2">
        <v>46075</v>
      </c>
      <c r="D469">
        <v>93.3</v>
      </c>
      <c r="E469">
        <v>21.8</v>
      </c>
      <c r="F469">
        <v>3.8</v>
      </c>
      <c r="G469">
        <v>5</v>
      </c>
      <c r="H469">
        <v>70.099999999999994</v>
      </c>
      <c r="I469">
        <v>93.4</v>
      </c>
    </row>
    <row r="470" spans="1:9" x14ac:dyDescent="0.35">
      <c r="A470" t="s">
        <v>35</v>
      </c>
      <c r="B470" t="s">
        <v>36</v>
      </c>
      <c r="C470" s="2">
        <v>46066</v>
      </c>
      <c r="D470">
        <v>214.4</v>
      </c>
      <c r="E470">
        <v>72.8</v>
      </c>
      <c r="F470">
        <v>1.2</v>
      </c>
      <c r="G470">
        <v>8</v>
      </c>
      <c r="H470">
        <v>44.9</v>
      </c>
      <c r="I470">
        <v>96.5</v>
      </c>
    </row>
    <row r="471" spans="1:9" x14ac:dyDescent="0.35">
      <c r="A471" t="s">
        <v>45</v>
      </c>
      <c r="B471" t="s">
        <v>46</v>
      </c>
      <c r="C471" s="2">
        <v>46083</v>
      </c>
      <c r="D471">
        <v>345.2</v>
      </c>
      <c r="E471">
        <v>91.3</v>
      </c>
      <c r="F471">
        <v>2.1</v>
      </c>
      <c r="G471">
        <v>2</v>
      </c>
      <c r="H471">
        <v>64.2</v>
      </c>
      <c r="I471">
        <v>88.3</v>
      </c>
    </row>
    <row r="472" spans="1:9" x14ac:dyDescent="0.35">
      <c r="A472" t="s">
        <v>23</v>
      </c>
      <c r="B472" t="s">
        <v>24</v>
      </c>
      <c r="C472" s="2">
        <v>46068</v>
      </c>
      <c r="D472">
        <v>387.1</v>
      </c>
      <c r="E472">
        <v>71.599999999999994</v>
      </c>
      <c r="F472">
        <v>1.5</v>
      </c>
      <c r="G472">
        <v>6</v>
      </c>
      <c r="H472">
        <v>61.6</v>
      </c>
      <c r="I472">
        <v>85.7</v>
      </c>
    </row>
    <row r="473" spans="1:9" x14ac:dyDescent="0.35">
      <c r="A473" t="s">
        <v>37</v>
      </c>
      <c r="B473" t="s">
        <v>38</v>
      </c>
      <c r="C473" s="2">
        <v>46086</v>
      </c>
      <c r="D473">
        <v>132</v>
      </c>
      <c r="E473">
        <v>27.9</v>
      </c>
      <c r="F473">
        <v>3.3</v>
      </c>
      <c r="G473">
        <v>2</v>
      </c>
      <c r="H473">
        <v>41.4</v>
      </c>
      <c r="I473">
        <v>87.9</v>
      </c>
    </row>
    <row r="474" spans="1:9" x14ac:dyDescent="0.35">
      <c r="A474" t="s">
        <v>9</v>
      </c>
      <c r="B474" t="s">
        <v>10</v>
      </c>
      <c r="C474" s="2">
        <v>46073</v>
      </c>
      <c r="D474">
        <v>159.80000000000001</v>
      </c>
      <c r="E474">
        <v>31.8</v>
      </c>
      <c r="F474">
        <v>1</v>
      </c>
      <c r="G474">
        <v>6</v>
      </c>
      <c r="H474">
        <v>34.799999999999997</v>
      </c>
      <c r="I474">
        <v>91.2</v>
      </c>
    </row>
    <row r="475" spans="1:9" x14ac:dyDescent="0.35">
      <c r="A475" t="s">
        <v>41</v>
      </c>
      <c r="B475" t="s">
        <v>42</v>
      </c>
      <c r="C475" s="2">
        <v>46038</v>
      </c>
      <c r="D475">
        <v>365.7</v>
      </c>
      <c r="E475">
        <v>91.1</v>
      </c>
      <c r="F475">
        <v>3</v>
      </c>
      <c r="G475">
        <v>3</v>
      </c>
      <c r="H475">
        <v>73.400000000000006</v>
      </c>
      <c r="I475">
        <v>85.1</v>
      </c>
    </row>
    <row r="476" spans="1:9" x14ac:dyDescent="0.35">
      <c r="A476" t="s">
        <v>21</v>
      </c>
      <c r="B476" t="s">
        <v>22</v>
      </c>
      <c r="C476" s="2">
        <v>46093</v>
      </c>
      <c r="D476">
        <v>426.1</v>
      </c>
      <c r="E476">
        <v>84.1</v>
      </c>
      <c r="F476">
        <v>2.2999999999999998</v>
      </c>
      <c r="G476">
        <v>3</v>
      </c>
      <c r="H476">
        <v>61.1</v>
      </c>
      <c r="I476">
        <v>87.6</v>
      </c>
    </row>
    <row r="477" spans="1:9" x14ac:dyDescent="0.35">
      <c r="A477" t="s">
        <v>25</v>
      </c>
      <c r="B477" t="s">
        <v>26</v>
      </c>
      <c r="C477" s="2">
        <v>46036</v>
      </c>
      <c r="D477">
        <v>223.3</v>
      </c>
      <c r="E477">
        <v>50.5</v>
      </c>
      <c r="F477">
        <v>4</v>
      </c>
      <c r="G477">
        <v>7</v>
      </c>
      <c r="H477">
        <v>48.8</v>
      </c>
      <c r="I477">
        <v>94.1</v>
      </c>
    </row>
    <row r="478" spans="1:9" x14ac:dyDescent="0.35">
      <c r="A478" t="s">
        <v>19</v>
      </c>
      <c r="B478" t="s">
        <v>20</v>
      </c>
      <c r="C478" s="2">
        <v>46058</v>
      </c>
      <c r="D478">
        <v>227.2</v>
      </c>
      <c r="E478">
        <v>61</v>
      </c>
      <c r="F478">
        <v>1.5</v>
      </c>
      <c r="G478">
        <v>3</v>
      </c>
      <c r="H478">
        <v>36.200000000000003</v>
      </c>
      <c r="I478">
        <v>94</v>
      </c>
    </row>
    <row r="479" spans="1:9" x14ac:dyDescent="0.35">
      <c r="A479" t="s">
        <v>31</v>
      </c>
      <c r="B479" t="s">
        <v>32</v>
      </c>
      <c r="C479" s="2">
        <v>46061</v>
      </c>
      <c r="D479">
        <v>391.9</v>
      </c>
      <c r="E479">
        <v>91.6</v>
      </c>
      <c r="F479">
        <v>1.5</v>
      </c>
      <c r="G479">
        <v>4</v>
      </c>
      <c r="H479">
        <v>39</v>
      </c>
      <c r="I479">
        <v>94.4</v>
      </c>
    </row>
    <row r="480" spans="1:9" x14ac:dyDescent="0.35">
      <c r="A480" t="s">
        <v>29</v>
      </c>
      <c r="B480" t="s">
        <v>30</v>
      </c>
      <c r="C480" s="2">
        <v>46110</v>
      </c>
      <c r="D480">
        <v>207.8</v>
      </c>
      <c r="E480">
        <v>45</v>
      </c>
      <c r="F480">
        <v>4.4000000000000004</v>
      </c>
      <c r="G480">
        <v>3</v>
      </c>
      <c r="H480">
        <v>52.7</v>
      </c>
      <c r="I480">
        <v>95.4</v>
      </c>
    </row>
    <row r="481" spans="1:9" x14ac:dyDescent="0.35">
      <c r="A481" t="s">
        <v>23</v>
      </c>
      <c r="B481" t="s">
        <v>24</v>
      </c>
      <c r="C481" s="2">
        <v>46037</v>
      </c>
      <c r="D481">
        <v>361.5</v>
      </c>
      <c r="E481">
        <v>83.7</v>
      </c>
      <c r="F481">
        <v>2.7</v>
      </c>
      <c r="G481">
        <v>7</v>
      </c>
      <c r="H481">
        <v>60.3</v>
      </c>
      <c r="I481">
        <v>98.4</v>
      </c>
    </row>
    <row r="482" spans="1:9" x14ac:dyDescent="0.35">
      <c r="A482" t="s">
        <v>13</v>
      </c>
      <c r="B482" t="s">
        <v>14</v>
      </c>
      <c r="C482" s="2">
        <v>46059</v>
      </c>
      <c r="D482">
        <v>404.7</v>
      </c>
      <c r="E482">
        <v>102.7</v>
      </c>
      <c r="F482">
        <v>0.3</v>
      </c>
      <c r="G482">
        <v>2</v>
      </c>
      <c r="H482">
        <v>31.1</v>
      </c>
      <c r="I482">
        <v>87.2</v>
      </c>
    </row>
    <row r="483" spans="1:9" x14ac:dyDescent="0.35">
      <c r="A483" t="s">
        <v>21</v>
      </c>
      <c r="B483" t="s">
        <v>22</v>
      </c>
      <c r="C483" s="2">
        <v>46048</v>
      </c>
      <c r="D483">
        <v>178.8</v>
      </c>
      <c r="E483">
        <v>36.299999999999997</v>
      </c>
      <c r="F483">
        <v>4.4000000000000004</v>
      </c>
      <c r="G483">
        <v>5</v>
      </c>
      <c r="H483">
        <v>36.6</v>
      </c>
      <c r="I483">
        <v>85.9</v>
      </c>
    </row>
    <row r="484" spans="1:9" x14ac:dyDescent="0.35">
      <c r="A484" t="s">
        <v>29</v>
      </c>
      <c r="B484" t="s">
        <v>30</v>
      </c>
      <c r="C484" s="2">
        <v>46049</v>
      </c>
      <c r="D484">
        <v>358.8</v>
      </c>
      <c r="E484">
        <v>124.3</v>
      </c>
      <c r="F484">
        <v>3.7</v>
      </c>
      <c r="G484">
        <v>2</v>
      </c>
      <c r="H484">
        <v>57.7</v>
      </c>
      <c r="I484">
        <v>95.1</v>
      </c>
    </row>
    <row r="485" spans="1:9" x14ac:dyDescent="0.35">
      <c r="A485" t="s">
        <v>13</v>
      </c>
      <c r="B485" t="s">
        <v>14</v>
      </c>
      <c r="C485" s="2">
        <v>46051</v>
      </c>
      <c r="D485">
        <v>354.7</v>
      </c>
      <c r="E485">
        <v>82.2</v>
      </c>
      <c r="F485">
        <v>1.2</v>
      </c>
      <c r="G485">
        <v>5</v>
      </c>
      <c r="H485">
        <v>61.2</v>
      </c>
      <c r="I485">
        <v>85.7</v>
      </c>
    </row>
    <row r="486" spans="1:9" x14ac:dyDescent="0.35">
      <c r="A486" t="s">
        <v>39</v>
      </c>
      <c r="B486" t="s">
        <v>40</v>
      </c>
      <c r="C486" s="2">
        <v>46072</v>
      </c>
      <c r="D486">
        <v>234.1</v>
      </c>
      <c r="E486">
        <v>47.5</v>
      </c>
      <c r="F486">
        <v>3.1</v>
      </c>
      <c r="G486">
        <v>1</v>
      </c>
      <c r="H486">
        <v>30.6</v>
      </c>
      <c r="I486">
        <v>88.8</v>
      </c>
    </row>
    <row r="487" spans="1:9" x14ac:dyDescent="0.35">
      <c r="A487" t="s">
        <v>45</v>
      </c>
      <c r="B487" t="s">
        <v>46</v>
      </c>
      <c r="C487" s="2">
        <v>46079</v>
      </c>
      <c r="D487">
        <v>387.1</v>
      </c>
      <c r="E487">
        <v>73.599999999999994</v>
      </c>
      <c r="F487">
        <v>3.2</v>
      </c>
      <c r="G487">
        <v>6</v>
      </c>
      <c r="H487">
        <v>64</v>
      </c>
      <c r="I487">
        <v>93.2</v>
      </c>
    </row>
    <row r="488" spans="1:9" x14ac:dyDescent="0.35">
      <c r="A488" t="s">
        <v>45</v>
      </c>
      <c r="B488" t="s">
        <v>46</v>
      </c>
      <c r="C488" s="2">
        <v>46048</v>
      </c>
      <c r="D488">
        <v>367.2</v>
      </c>
      <c r="E488">
        <v>68</v>
      </c>
      <c r="F488">
        <v>1.5</v>
      </c>
      <c r="G488">
        <v>3</v>
      </c>
      <c r="H488">
        <v>74.3</v>
      </c>
      <c r="I488">
        <v>86.1</v>
      </c>
    </row>
    <row r="489" spans="1:9" x14ac:dyDescent="0.35">
      <c r="A489" t="s">
        <v>37</v>
      </c>
      <c r="B489" t="s">
        <v>38</v>
      </c>
      <c r="C489" s="2">
        <v>46088</v>
      </c>
      <c r="D489">
        <v>124.2</v>
      </c>
      <c r="E489">
        <v>42.7</v>
      </c>
      <c r="F489">
        <v>1.4</v>
      </c>
      <c r="G489">
        <v>5</v>
      </c>
      <c r="H489">
        <v>35.9</v>
      </c>
      <c r="I489">
        <v>93.8</v>
      </c>
    </row>
    <row r="490" spans="1:9" x14ac:dyDescent="0.35">
      <c r="A490" t="s">
        <v>47</v>
      </c>
      <c r="B490" t="s">
        <v>48</v>
      </c>
      <c r="C490" s="2">
        <v>46023</v>
      </c>
      <c r="D490">
        <v>202.3</v>
      </c>
      <c r="E490">
        <v>42.9</v>
      </c>
      <c r="F490">
        <v>0.9</v>
      </c>
      <c r="G490">
        <v>3</v>
      </c>
      <c r="H490">
        <v>71.8</v>
      </c>
      <c r="I490">
        <v>94</v>
      </c>
    </row>
    <row r="491" spans="1:9" x14ac:dyDescent="0.35">
      <c r="A491" t="s">
        <v>45</v>
      </c>
      <c r="B491" t="s">
        <v>46</v>
      </c>
      <c r="C491" s="2">
        <v>46107</v>
      </c>
      <c r="D491">
        <v>191.4</v>
      </c>
      <c r="E491">
        <v>38.799999999999997</v>
      </c>
      <c r="F491">
        <v>2.6</v>
      </c>
      <c r="G491">
        <v>2</v>
      </c>
      <c r="H491">
        <v>65.3</v>
      </c>
      <c r="I491">
        <v>89.8</v>
      </c>
    </row>
    <row r="492" spans="1:9" x14ac:dyDescent="0.35">
      <c r="A492" t="s">
        <v>19</v>
      </c>
      <c r="B492" t="s">
        <v>20</v>
      </c>
      <c r="C492" s="2">
        <v>46046</v>
      </c>
      <c r="D492">
        <v>272.60000000000002</v>
      </c>
      <c r="E492">
        <v>55.4</v>
      </c>
      <c r="F492">
        <v>0.9</v>
      </c>
      <c r="G492">
        <v>7</v>
      </c>
      <c r="H492">
        <v>34.1</v>
      </c>
      <c r="I492">
        <v>88.3</v>
      </c>
    </row>
    <row r="493" spans="1:9" x14ac:dyDescent="0.35">
      <c r="A493" t="s">
        <v>33</v>
      </c>
      <c r="B493" t="s">
        <v>34</v>
      </c>
      <c r="C493" s="2">
        <v>46107</v>
      </c>
      <c r="D493">
        <v>202.8</v>
      </c>
      <c r="E493">
        <v>65</v>
      </c>
      <c r="F493">
        <v>1.1000000000000001</v>
      </c>
      <c r="G493">
        <v>8</v>
      </c>
      <c r="H493">
        <v>74.8</v>
      </c>
      <c r="I493">
        <v>97.4</v>
      </c>
    </row>
    <row r="494" spans="1:9" x14ac:dyDescent="0.35">
      <c r="A494" t="s">
        <v>27</v>
      </c>
      <c r="B494" t="s">
        <v>28</v>
      </c>
      <c r="C494" s="2">
        <v>46037</v>
      </c>
      <c r="D494">
        <v>327.5</v>
      </c>
      <c r="E494">
        <v>81.8</v>
      </c>
      <c r="F494">
        <v>4.0999999999999996</v>
      </c>
      <c r="G494">
        <v>4</v>
      </c>
      <c r="H494">
        <v>73.2</v>
      </c>
      <c r="I494">
        <v>95.2</v>
      </c>
    </row>
    <row r="495" spans="1:9" x14ac:dyDescent="0.35">
      <c r="A495" t="s">
        <v>23</v>
      </c>
      <c r="B495" t="s">
        <v>24</v>
      </c>
      <c r="C495" s="2">
        <v>46071</v>
      </c>
      <c r="D495">
        <v>418.9</v>
      </c>
      <c r="E495">
        <v>78.3</v>
      </c>
      <c r="F495">
        <v>1.9</v>
      </c>
      <c r="G495">
        <v>5</v>
      </c>
      <c r="H495">
        <v>31.1</v>
      </c>
      <c r="I495">
        <v>92.8</v>
      </c>
    </row>
    <row r="496" spans="1:9" x14ac:dyDescent="0.35">
      <c r="A496" t="s">
        <v>17</v>
      </c>
      <c r="B496" t="s">
        <v>18</v>
      </c>
      <c r="C496" s="2">
        <v>46088</v>
      </c>
      <c r="D496">
        <v>377</v>
      </c>
      <c r="E496">
        <v>94.2</v>
      </c>
      <c r="F496">
        <v>0.4</v>
      </c>
      <c r="G496">
        <v>4</v>
      </c>
      <c r="H496">
        <v>44.4</v>
      </c>
      <c r="I496">
        <v>86.2</v>
      </c>
    </row>
    <row r="497" spans="1:9" x14ac:dyDescent="0.35">
      <c r="A497" t="s">
        <v>9</v>
      </c>
      <c r="B497" t="s">
        <v>10</v>
      </c>
      <c r="C497" s="2">
        <v>46044</v>
      </c>
      <c r="D497">
        <v>439.5</v>
      </c>
      <c r="E497">
        <v>89.9</v>
      </c>
      <c r="F497">
        <v>2.5</v>
      </c>
      <c r="G497">
        <v>2</v>
      </c>
      <c r="H497">
        <v>39.5</v>
      </c>
      <c r="I497">
        <v>94.4</v>
      </c>
    </row>
    <row r="498" spans="1:9" x14ac:dyDescent="0.35">
      <c r="A498" t="s">
        <v>33</v>
      </c>
      <c r="B498" t="s">
        <v>34</v>
      </c>
      <c r="C498" s="2">
        <v>46110</v>
      </c>
      <c r="D498">
        <v>237</v>
      </c>
      <c r="E498">
        <v>76.900000000000006</v>
      </c>
      <c r="F498">
        <v>2.5</v>
      </c>
      <c r="G498">
        <v>7</v>
      </c>
      <c r="H498">
        <v>59.1</v>
      </c>
      <c r="I498">
        <v>99.1</v>
      </c>
    </row>
    <row r="499" spans="1:9" x14ac:dyDescent="0.35">
      <c r="A499" t="s">
        <v>25</v>
      </c>
      <c r="B499" t="s">
        <v>26</v>
      </c>
      <c r="C499" s="2">
        <v>46026</v>
      </c>
      <c r="D499">
        <v>249.9</v>
      </c>
      <c r="E499">
        <v>67.599999999999994</v>
      </c>
      <c r="F499">
        <v>0.6</v>
      </c>
      <c r="G499">
        <v>1</v>
      </c>
      <c r="H499">
        <v>38</v>
      </c>
      <c r="I499">
        <v>88.8</v>
      </c>
    </row>
    <row r="500" spans="1:9" x14ac:dyDescent="0.35">
      <c r="A500" t="s">
        <v>11</v>
      </c>
      <c r="B500" t="s">
        <v>12</v>
      </c>
      <c r="C500" s="2">
        <v>46096</v>
      </c>
      <c r="D500">
        <v>384</v>
      </c>
      <c r="E500">
        <v>73</v>
      </c>
      <c r="F500">
        <v>2</v>
      </c>
      <c r="G500">
        <v>8</v>
      </c>
      <c r="H500">
        <v>58.4</v>
      </c>
      <c r="I500">
        <v>91.5</v>
      </c>
    </row>
    <row r="501" spans="1:9" x14ac:dyDescent="0.35">
      <c r="A501" t="s">
        <v>27</v>
      </c>
      <c r="B501" t="s">
        <v>28</v>
      </c>
      <c r="C501" s="2">
        <v>46072</v>
      </c>
      <c r="D501">
        <v>329.1</v>
      </c>
      <c r="E501">
        <v>77.5</v>
      </c>
      <c r="F501">
        <v>3</v>
      </c>
      <c r="G501">
        <v>2</v>
      </c>
      <c r="H501">
        <v>64</v>
      </c>
      <c r="I501">
        <v>93.8</v>
      </c>
    </row>
    <row r="502" spans="1:9" x14ac:dyDescent="0.35">
      <c r="A502" t="s">
        <v>11</v>
      </c>
      <c r="B502" t="s">
        <v>12</v>
      </c>
      <c r="C502" s="2">
        <v>46068</v>
      </c>
      <c r="D502">
        <v>423.4</v>
      </c>
      <c r="E502">
        <v>137.19999999999999</v>
      </c>
      <c r="F502">
        <v>3.6</v>
      </c>
      <c r="G502">
        <v>5</v>
      </c>
      <c r="H502">
        <v>57.3</v>
      </c>
      <c r="I502">
        <v>89.2</v>
      </c>
    </row>
    <row r="503" spans="1:9" x14ac:dyDescent="0.35">
      <c r="A503" t="s">
        <v>35</v>
      </c>
      <c r="B503" t="s">
        <v>36</v>
      </c>
      <c r="C503" s="2">
        <v>46071</v>
      </c>
      <c r="D503">
        <v>226.2</v>
      </c>
      <c r="E503">
        <v>49.3</v>
      </c>
      <c r="F503">
        <v>2.2000000000000002</v>
      </c>
      <c r="G503">
        <v>4</v>
      </c>
      <c r="H503">
        <v>36.1</v>
      </c>
      <c r="I503">
        <v>90.9</v>
      </c>
    </row>
    <row r="504" spans="1:9" x14ac:dyDescent="0.35">
      <c r="A504" t="s">
        <v>13</v>
      </c>
      <c r="B504" t="s">
        <v>14</v>
      </c>
      <c r="C504" s="2">
        <v>46060</v>
      </c>
      <c r="D504">
        <v>435.2</v>
      </c>
      <c r="E504">
        <v>136.5</v>
      </c>
      <c r="F504">
        <v>3.1</v>
      </c>
      <c r="G504">
        <v>6</v>
      </c>
      <c r="H504">
        <v>73.099999999999994</v>
      </c>
      <c r="I504">
        <v>85.2</v>
      </c>
    </row>
    <row r="505" spans="1:9" x14ac:dyDescent="0.35">
      <c r="A505" t="s">
        <v>13</v>
      </c>
      <c r="B505" t="s">
        <v>14</v>
      </c>
      <c r="C505" s="2">
        <v>46041</v>
      </c>
      <c r="D505">
        <v>125.6</v>
      </c>
      <c r="E505">
        <v>44.6</v>
      </c>
      <c r="F505">
        <v>2.8</v>
      </c>
      <c r="G505">
        <v>2</v>
      </c>
      <c r="H505">
        <v>43.7</v>
      </c>
      <c r="I505">
        <v>96.2</v>
      </c>
    </row>
    <row r="506" spans="1:9" x14ac:dyDescent="0.35">
      <c r="A506" t="s">
        <v>17</v>
      </c>
      <c r="B506" t="s">
        <v>18</v>
      </c>
      <c r="C506" s="2">
        <v>46050</v>
      </c>
      <c r="D506">
        <v>232.7</v>
      </c>
      <c r="E506">
        <v>51.2</v>
      </c>
      <c r="F506">
        <v>2.4</v>
      </c>
      <c r="G506">
        <v>3</v>
      </c>
      <c r="H506">
        <v>38.299999999999997</v>
      </c>
      <c r="I506">
        <v>94.3</v>
      </c>
    </row>
    <row r="507" spans="1:9" x14ac:dyDescent="0.35">
      <c r="A507" t="s">
        <v>47</v>
      </c>
      <c r="B507" t="s">
        <v>48</v>
      </c>
      <c r="C507" s="2">
        <v>46047</v>
      </c>
      <c r="D507">
        <v>122.4</v>
      </c>
      <c r="E507">
        <v>26.5</v>
      </c>
      <c r="F507">
        <v>2.6</v>
      </c>
      <c r="G507">
        <v>1</v>
      </c>
      <c r="H507">
        <v>68.3</v>
      </c>
      <c r="I507">
        <v>99</v>
      </c>
    </row>
    <row r="508" spans="1:9" x14ac:dyDescent="0.35">
      <c r="A508" t="s">
        <v>13</v>
      </c>
      <c r="B508" t="s">
        <v>14</v>
      </c>
      <c r="C508" s="2">
        <v>46082</v>
      </c>
      <c r="D508">
        <v>318.5</v>
      </c>
      <c r="E508">
        <v>106.3</v>
      </c>
      <c r="F508">
        <v>3.1</v>
      </c>
      <c r="G508">
        <v>5</v>
      </c>
      <c r="H508">
        <v>34.4</v>
      </c>
      <c r="I508">
        <v>95.9</v>
      </c>
    </row>
    <row r="509" spans="1:9" x14ac:dyDescent="0.35">
      <c r="A509" t="s">
        <v>43</v>
      </c>
      <c r="B509" t="s">
        <v>44</v>
      </c>
      <c r="C509" s="2">
        <v>46065</v>
      </c>
      <c r="D509">
        <v>212.1</v>
      </c>
      <c r="E509">
        <v>46</v>
      </c>
      <c r="F509">
        <v>1.2</v>
      </c>
      <c r="G509">
        <v>5</v>
      </c>
      <c r="H509">
        <v>57.9</v>
      </c>
      <c r="I509">
        <v>98.5</v>
      </c>
    </row>
    <row r="510" spans="1:9" x14ac:dyDescent="0.35">
      <c r="A510" t="s">
        <v>23</v>
      </c>
      <c r="B510" t="s">
        <v>24</v>
      </c>
      <c r="C510" s="2">
        <v>46085</v>
      </c>
      <c r="D510">
        <v>246.7</v>
      </c>
      <c r="E510">
        <v>55.3</v>
      </c>
      <c r="F510">
        <v>1.5</v>
      </c>
      <c r="G510">
        <v>3</v>
      </c>
      <c r="H510">
        <v>55.4</v>
      </c>
      <c r="I510">
        <v>90.5</v>
      </c>
    </row>
    <row r="511" spans="1:9" x14ac:dyDescent="0.35">
      <c r="A511" t="s">
        <v>23</v>
      </c>
      <c r="B511" t="s">
        <v>24</v>
      </c>
      <c r="C511" s="2">
        <v>46077</v>
      </c>
      <c r="D511">
        <v>142.4</v>
      </c>
      <c r="E511">
        <v>39.1</v>
      </c>
      <c r="F511">
        <v>3.6</v>
      </c>
      <c r="G511">
        <v>7</v>
      </c>
      <c r="H511">
        <v>42.5</v>
      </c>
      <c r="I511">
        <v>90.4</v>
      </c>
    </row>
    <row r="512" spans="1:9" x14ac:dyDescent="0.35">
      <c r="A512" t="s">
        <v>23</v>
      </c>
      <c r="B512" t="s">
        <v>24</v>
      </c>
      <c r="C512" s="2">
        <v>46084</v>
      </c>
      <c r="D512">
        <v>251.3</v>
      </c>
      <c r="E512">
        <v>66.7</v>
      </c>
      <c r="F512">
        <v>1.5</v>
      </c>
      <c r="G512">
        <v>2</v>
      </c>
      <c r="H512">
        <v>37.9</v>
      </c>
      <c r="I512">
        <v>94.1</v>
      </c>
    </row>
    <row r="513" spans="1:9" x14ac:dyDescent="0.35">
      <c r="A513" t="s">
        <v>47</v>
      </c>
      <c r="B513" t="s">
        <v>48</v>
      </c>
      <c r="C513" s="2">
        <v>46040</v>
      </c>
      <c r="D513">
        <v>409.8</v>
      </c>
      <c r="E513">
        <v>123</v>
      </c>
      <c r="F513">
        <v>3.4</v>
      </c>
      <c r="G513">
        <v>2</v>
      </c>
      <c r="H513">
        <v>62.7</v>
      </c>
      <c r="I513">
        <v>98.4</v>
      </c>
    </row>
    <row r="514" spans="1:9" x14ac:dyDescent="0.35">
      <c r="A514" t="s">
        <v>31</v>
      </c>
      <c r="B514" t="s">
        <v>32</v>
      </c>
      <c r="C514" s="2">
        <v>46103</v>
      </c>
      <c r="D514">
        <v>91.5</v>
      </c>
      <c r="E514">
        <v>20.9</v>
      </c>
      <c r="F514">
        <v>1.9</v>
      </c>
      <c r="G514">
        <v>4</v>
      </c>
      <c r="H514">
        <v>70.8</v>
      </c>
      <c r="I514">
        <v>93.3</v>
      </c>
    </row>
    <row r="515" spans="1:9" x14ac:dyDescent="0.35">
      <c r="A515" t="s">
        <v>13</v>
      </c>
      <c r="B515" t="s">
        <v>14</v>
      </c>
      <c r="C515" s="2">
        <v>46092</v>
      </c>
      <c r="D515">
        <v>254.7</v>
      </c>
      <c r="E515">
        <v>52.1</v>
      </c>
      <c r="F515">
        <v>1.8</v>
      </c>
      <c r="G515">
        <v>4</v>
      </c>
      <c r="H515">
        <v>70.099999999999994</v>
      </c>
      <c r="I515">
        <v>93.8</v>
      </c>
    </row>
    <row r="516" spans="1:9" x14ac:dyDescent="0.35">
      <c r="A516" t="s">
        <v>29</v>
      </c>
      <c r="B516" t="s">
        <v>30</v>
      </c>
      <c r="C516" s="2">
        <v>46040</v>
      </c>
      <c r="D516">
        <v>251.9</v>
      </c>
      <c r="E516">
        <v>60.3</v>
      </c>
      <c r="F516">
        <v>1.9</v>
      </c>
      <c r="G516">
        <v>1</v>
      </c>
      <c r="H516">
        <v>59.8</v>
      </c>
      <c r="I516">
        <v>97.7</v>
      </c>
    </row>
    <row r="517" spans="1:9" x14ac:dyDescent="0.35">
      <c r="A517" t="s">
        <v>45</v>
      </c>
      <c r="B517" t="s">
        <v>46</v>
      </c>
      <c r="C517" s="2">
        <v>46110</v>
      </c>
      <c r="D517">
        <v>141.4</v>
      </c>
      <c r="E517">
        <v>33.799999999999997</v>
      </c>
      <c r="F517">
        <v>2.1</v>
      </c>
      <c r="G517">
        <v>3</v>
      </c>
      <c r="H517">
        <v>55.5</v>
      </c>
      <c r="I517">
        <v>93.5</v>
      </c>
    </row>
    <row r="518" spans="1:9" x14ac:dyDescent="0.35">
      <c r="A518" t="s">
        <v>25</v>
      </c>
      <c r="B518" t="s">
        <v>26</v>
      </c>
      <c r="C518" s="2">
        <v>46084</v>
      </c>
      <c r="D518">
        <v>427.5</v>
      </c>
      <c r="E518">
        <v>147</v>
      </c>
      <c r="F518">
        <v>3.5</v>
      </c>
      <c r="G518">
        <v>4</v>
      </c>
      <c r="H518">
        <v>32.799999999999997</v>
      </c>
      <c r="I518">
        <v>90.5</v>
      </c>
    </row>
    <row r="519" spans="1:9" x14ac:dyDescent="0.35">
      <c r="A519" t="s">
        <v>21</v>
      </c>
      <c r="B519" t="s">
        <v>22</v>
      </c>
      <c r="C519" s="2">
        <v>46108</v>
      </c>
      <c r="D519">
        <v>156.5</v>
      </c>
      <c r="E519">
        <v>29.8</v>
      </c>
      <c r="F519">
        <v>1.8</v>
      </c>
      <c r="G519">
        <v>8</v>
      </c>
      <c r="H519">
        <v>71.3</v>
      </c>
      <c r="I519">
        <v>98.2</v>
      </c>
    </row>
    <row r="520" spans="1:9" x14ac:dyDescent="0.35">
      <c r="A520" t="s">
        <v>21</v>
      </c>
      <c r="B520" t="s">
        <v>22</v>
      </c>
      <c r="C520" s="2">
        <v>46106</v>
      </c>
      <c r="D520">
        <v>199.9</v>
      </c>
      <c r="E520">
        <v>42.5</v>
      </c>
      <c r="F520">
        <v>2.4</v>
      </c>
      <c r="G520">
        <v>5</v>
      </c>
      <c r="H520">
        <v>67.599999999999994</v>
      </c>
      <c r="I520">
        <v>88.9</v>
      </c>
    </row>
    <row r="521" spans="1:9" x14ac:dyDescent="0.35">
      <c r="A521" t="s">
        <v>13</v>
      </c>
      <c r="B521" t="s">
        <v>14</v>
      </c>
      <c r="C521" s="2">
        <v>46095</v>
      </c>
      <c r="D521">
        <v>144.30000000000001</v>
      </c>
      <c r="E521">
        <v>31.6</v>
      </c>
      <c r="F521">
        <v>1.8</v>
      </c>
      <c r="G521">
        <v>2</v>
      </c>
      <c r="H521">
        <v>53.2</v>
      </c>
      <c r="I521">
        <v>90.6</v>
      </c>
    </row>
    <row r="522" spans="1:9" x14ac:dyDescent="0.35">
      <c r="A522" t="s">
        <v>19</v>
      </c>
      <c r="B522" t="s">
        <v>20</v>
      </c>
      <c r="C522" s="2">
        <v>46089</v>
      </c>
      <c r="D522">
        <v>230.2</v>
      </c>
      <c r="E522">
        <v>46</v>
      </c>
      <c r="F522">
        <v>1.7</v>
      </c>
      <c r="G522">
        <v>8</v>
      </c>
      <c r="H522">
        <v>69.900000000000006</v>
      </c>
      <c r="I522">
        <v>85.1</v>
      </c>
    </row>
    <row r="523" spans="1:9" x14ac:dyDescent="0.35">
      <c r="A523" t="s">
        <v>25</v>
      </c>
      <c r="B523" t="s">
        <v>26</v>
      </c>
      <c r="C523" s="2">
        <v>46079</v>
      </c>
      <c r="D523">
        <v>141.30000000000001</v>
      </c>
      <c r="E523">
        <v>47</v>
      </c>
      <c r="F523">
        <v>3</v>
      </c>
      <c r="G523">
        <v>4</v>
      </c>
      <c r="H523">
        <v>36.799999999999997</v>
      </c>
      <c r="I523">
        <v>87.4</v>
      </c>
    </row>
    <row r="524" spans="1:9" x14ac:dyDescent="0.35">
      <c r="A524" t="s">
        <v>45</v>
      </c>
      <c r="B524" t="s">
        <v>46</v>
      </c>
      <c r="C524" s="2">
        <v>46038</v>
      </c>
      <c r="D524">
        <v>324.60000000000002</v>
      </c>
      <c r="E524">
        <v>82.8</v>
      </c>
      <c r="F524">
        <v>1.6</v>
      </c>
      <c r="G524">
        <v>2</v>
      </c>
      <c r="H524">
        <v>51.7</v>
      </c>
      <c r="I524">
        <v>92.2</v>
      </c>
    </row>
    <row r="525" spans="1:9" x14ac:dyDescent="0.35">
      <c r="A525" t="s">
        <v>33</v>
      </c>
      <c r="B525" t="s">
        <v>34</v>
      </c>
      <c r="C525" s="2">
        <v>46098</v>
      </c>
      <c r="D525">
        <v>139.69999999999999</v>
      </c>
      <c r="E525">
        <v>27.7</v>
      </c>
      <c r="F525">
        <v>0.3</v>
      </c>
      <c r="G525">
        <v>1</v>
      </c>
      <c r="H525">
        <v>35.799999999999997</v>
      </c>
      <c r="I525">
        <v>93.9</v>
      </c>
    </row>
    <row r="526" spans="1:9" x14ac:dyDescent="0.35">
      <c r="A526" t="s">
        <v>25</v>
      </c>
      <c r="B526" t="s">
        <v>26</v>
      </c>
      <c r="C526" s="2">
        <v>46103</v>
      </c>
      <c r="D526">
        <v>269.7</v>
      </c>
      <c r="E526">
        <v>51.8</v>
      </c>
      <c r="F526">
        <v>0.8</v>
      </c>
      <c r="G526">
        <v>3</v>
      </c>
      <c r="H526">
        <v>41.6</v>
      </c>
      <c r="I526">
        <v>87.7</v>
      </c>
    </row>
    <row r="527" spans="1:9" x14ac:dyDescent="0.35">
      <c r="A527" t="s">
        <v>39</v>
      </c>
      <c r="B527" t="s">
        <v>40</v>
      </c>
      <c r="C527" s="2">
        <v>46099</v>
      </c>
      <c r="D527">
        <v>438.6</v>
      </c>
      <c r="E527">
        <v>97</v>
      </c>
      <c r="F527">
        <v>4</v>
      </c>
      <c r="G527">
        <v>5</v>
      </c>
      <c r="H527">
        <v>72.599999999999994</v>
      </c>
      <c r="I527">
        <v>88.2</v>
      </c>
    </row>
    <row r="528" spans="1:9" x14ac:dyDescent="0.35">
      <c r="A528" t="s">
        <v>45</v>
      </c>
      <c r="B528" t="s">
        <v>46</v>
      </c>
      <c r="C528" s="2">
        <v>46083</v>
      </c>
      <c r="D528">
        <v>400.9</v>
      </c>
      <c r="E528">
        <v>123</v>
      </c>
      <c r="F528">
        <v>3.8</v>
      </c>
      <c r="G528">
        <v>3</v>
      </c>
      <c r="H528">
        <v>65.8</v>
      </c>
      <c r="I528">
        <v>97.3</v>
      </c>
    </row>
    <row r="529" spans="1:9" x14ac:dyDescent="0.35">
      <c r="A529" t="s">
        <v>37</v>
      </c>
      <c r="B529" t="s">
        <v>38</v>
      </c>
      <c r="C529" s="2">
        <v>46102</v>
      </c>
      <c r="D529">
        <v>324.10000000000002</v>
      </c>
      <c r="E529">
        <v>92.2</v>
      </c>
      <c r="F529">
        <v>3.3</v>
      </c>
      <c r="G529">
        <v>6</v>
      </c>
      <c r="H529">
        <v>71.5</v>
      </c>
      <c r="I529">
        <v>93.9</v>
      </c>
    </row>
    <row r="530" spans="1:9" x14ac:dyDescent="0.35">
      <c r="A530" t="s">
        <v>11</v>
      </c>
      <c r="B530" t="s">
        <v>12</v>
      </c>
      <c r="C530" s="2">
        <v>46052</v>
      </c>
      <c r="D530">
        <v>219.9</v>
      </c>
      <c r="E530">
        <v>69.7</v>
      </c>
      <c r="F530">
        <v>0.3</v>
      </c>
      <c r="G530">
        <v>7</v>
      </c>
      <c r="H530">
        <v>67.2</v>
      </c>
      <c r="I530">
        <v>94.1</v>
      </c>
    </row>
    <row r="531" spans="1:9" x14ac:dyDescent="0.35">
      <c r="A531" t="s">
        <v>37</v>
      </c>
      <c r="B531" t="s">
        <v>38</v>
      </c>
      <c r="C531" s="2">
        <v>46083</v>
      </c>
      <c r="D531">
        <v>413.6</v>
      </c>
      <c r="E531">
        <v>93.6</v>
      </c>
      <c r="F531">
        <v>4</v>
      </c>
      <c r="G531">
        <v>2</v>
      </c>
      <c r="H531">
        <v>34.200000000000003</v>
      </c>
      <c r="I531">
        <v>94.9</v>
      </c>
    </row>
    <row r="532" spans="1:9" x14ac:dyDescent="0.35">
      <c r="A532" t="s">
        <v>45</v>
      </c>
      <c r="B532" t="s">
        <v>46</v>
      </c>
      <c r="C532" s="2">
        <v>46092</v>
      </c>
      <c r="D532">
        <v>386.2</v>
      </c>
      <c r="E532">
        <v>74</v>
      </c>
      <c r="F532">
        <v>3.5</v>
      </c>
      <c r="G532">
        <v>7</v>
      </c>
      <c r="H532">
        <v>53.5</v>
      </c>
      <c r="I532">
        <v>90.6</v>
      </c>
    </row>
    <row r="533" spans="1:9" x14ac:dyDescent="0.35">
      <c r="A533" t="s">
        <v>21</v>
      </c>
      <c r="B533" t="s">
        <v>22</v>
      </c>
      <c r="C533" s="2">
        <v>46112</v>
      </c>
      <c r="D533">
        <v>276</v>
      </c>
      <c r="E533">
        <v>80.7</v>
      </c>
      <c r="F533">
        <v>3.6</v>
      </c>
      <c r="G533">
        <v>7</v>
      </c>
      <c r="H533">
        <v>45.8</v>
      </c>
      <c r="I533">
        <v>97.1</v>
      </c>
    </row>
    <row r="534" spans="1:9" x14ac:dyDescent="0.35">
      <c r="A534" t="s">
        <v>41</v>
      </c>
      <c r="B534" t="s">
        <v>42</v>
      </c>
      <c r="C534" s="2">
        <v>46035</v>
      </c>
      <c r="D534">
        <v>237.4</v>
      </c>
      <c r="E534">
        <v>68.099999999999994</v>
      </c>
      <c r="F534">
        <v>3.5</v>
      </c>
      <c r="G534">
        <v>2</v>
      </c>
      <c r="H534">
        <v>42.7</v>
      </c>
      <c r="I534">
        <v>98.2</v>
      </c>
    </row>
    <row r="535" spans="1:9" x14ac:dyDescent="0.35">
      <c r="A535" t="s">
        <v>15</v>
      </c>
      <c r="B535" t="s">
        <v>16</v>
      </c>
      <c r="C535" s="2">
        <v>46055</v>
      </c>
      <c r="D535">
        <v>149.9</v>
      </c>
      <c r="E535">
        <v>31.8</v>
      </c>
      <c r="F535">
        <v>3.6</v>
      </c>
      <c r="G535">
        <v>2</v>
      </c>
      <c r="H535">
        <v>53.4</v>
      </c>
      <c r="I535">
        <v>90.6</v>
      </c>
    </row>
    <row r="536" spans="1:9" x14ac:dyDescent="0.35">
      <c r="A536" t="s">
        <v>33</v>
      </c>
      <c r="B536" t="s">
        <v>34</v>
      </c>
      <c r="C536" s="2">
        <v>46111</v>
      </c>
      <c r="D536">
        <v>377.6</v>
      </c>
      <c r="E536">
        <v>96.7</v>
      </c>
      <c r="F536">
        <v>0.7</v>
      </c>
      <c r="G536">
        <v>7</v>
      </c>
      <c r="H536">
        <v>59.3</v>
      </c>
      <c r="I536">
        <v>88.8</v>
      </c>
    </row>
    <row r="537" spans="1:9" x14ac:dyDescent="0.35">
      <c r="A537" t="s">
        <v>13</v>
      </c>
      <c r="B537" t="s">
        <v>14</v>
      </c>
      <c r="C537" s="2">
        <v>46077</v>
      </c>
      <c r="D537">
        <v>288.89999999999998</v>
      </c>
      <c r="E537">
        <v>64.900000000000006</v>
      </c>
      <c r="F537">
        <v>4.5</v>
      </c>
      <c r="G537">
        <v>7</v>
      </c>
      <c r="H537">
        <v>64</v>
      </c>
      <c r="I537">
        <v>92</v>
      </c>
    </row>
    <row r="538" spans="1:9" x14ac:dyDescent="0.35">
      <c r="A538" t="s">
        <v>13</v>
      </c>
      <c r="B538" t="s">
        <v>14</v>
      </c>
      <c r="C538" s="2">
        <v>46084</v>
      </c>
      <c r="D538">
        <v>146.1</v>
      </c>
      <c r="E538">
        <v>33.9</v>
      </c>
      <c r="F538">
        <v>2.2999999999999998</v>
      </c>
      <c r="G538">
        <v>5</v>
      </c>
      <c r="H538">
        <v>56</v>
      </c>
      <c r="I538">
        <v>96.6</v>
      </c>
    </row>
    <row r="539" spans="1:9" x14ac:dyDescent="0.35">
      <c r="A539" t="s">
        <v>39</v>
      </c>
      <c r="B539" t="s">
        <v>40</v>
      </c>
      <c r="C539" s="2">
        <v>46040</v>
      </c>
      <c r="D539">
        <v>396.3</v>
      </c>
      <c r="E539">
        <v>86.5</v>
      </c>
      <c r="F539">
        <v>3.4</v>
      </c>
      <c r="G539">
        <v>8</v>
      </c>
      <c r="H539">
        <v>65.2</v>
      </c>
      <c r="I539">
        <v>99.2</v>
      </c>
    </row>
    <row r="540" spans="1:9" x14ac:dyDescent="0.35">
      <c r="A540" t="s">
        <v>9</v>
      </c>
      <c r="B540" t="s">
        <v>10</v>
      </c>
      <c r="C540" s="2">
        <v>46050</v>
      </c>
      <c r="D540">
        <v>268.10000000000002</v>
      </c>
      <c r="E540">
        <v>54.5</v>
      </c>
      <c r="F540">
        <v>3.6</v>
      </c>
      <c r="G540">
        <v>1</v>
      </c>
      <c r="H540">
        <v>37.200000000000003</v>
      </c>
      <c r="I540">
        <v>99.5</v>
      </c>
    </row>
    <row r="541" spans="1:9" x14ac:dyDescent="0.35">
      <c r="A541" t="s">
        <v>27</v>
      </c>
      <c r="B541" t="s">
        <v>28</v>
      </c>
      <c r="C541" s="2">
        <v>46034</v>
      </c>
      <c r="D541">
        <v>384.6</v>
      </c>
      <c r="E541">
        <v>94.4</v>
      </c>
      <c r="F541">
        <v>2.8</v>
      </c>
      <c r="G541">
        <v>2</v>
      </c>
      <c r="H541">
        <v>32.9</v>
      </c>
      <c r="I541">
        <v>88.3</v>
      </c>
    </row>
    <row r="542" spans="1:9" x14ac:dyDescent="0.35">
      <c r="A542" t="s">
        <v>11</v>
      </c>
      <c r="B542" t="s">
        <v>12</v>
      </c>
      <c r="C542" s="2">
        <v>46100</v>
      </c>
      <c r="D542">
        <v>94</v>
      </c>
      <c r="E542">
        <v>24.5</v>
      </c>
      <c r="F542">
        <v>4.4000000000000004</v>
      </c>
      <c r="G542">
        <v>5</v>
      </c>
      <c r="H542">
        <v>62</v>
      </c>
      <c r="I542">
        <v>94</v>
      </c>
    </row>
    <row r="543" spans="1:9" x14ac:dyDescent="0.35">
      <c r="A543" t="s">
        <v>37</v>
      </c>
      <c r="B543" t="s">
        <v>38</v>
      </c>
      <c r="C543" s="2">
        <v>46104</v>
      </c>
      <c r="D543">
        <v>262.89999999999998</v>
      </c>
      <c r="E543">
        <v>92.9</v>
      </c>
      <c r="F543">
        <v>3.9</v>
      </c>
      <c r="G543">
        <v>5</v>
      </c>
      <c r="H543">
        <v>38.799999999999997</v>
      </c>
      <c r="I543">
        <v>96.8</v>
      </c>
    </row>
    <row r="544" spans="1:9" x14ac:dyDescent="0.35">
      <c r="A544" t="s">
        <v>31</v>
      </c>
      <c r="B544" t="s">
        <v>32</v>
      </c>
      <c r="C544" s="2">
        <v>46089</v>
      </c>
      <c r="D544">
        <v>338.4</v>
      </c>
      <c r="E544">
        <v>75.900000000000006</v>
      </c>
      <c r="F544">
        <v>3.1</v>
      </c>
      <c r="G544">
        <v>6</v>
      </c>
      <c r="H544">
        <v>40.799999999999997</v>
      </c>
      <c r="I544">
        <v>85</v>
      </c>
    </row>
    <row r="545" spans="1:9" x14ac:dyDescent="0.35">
      <c r="A545" t="s">
        <v>37</v>
      </c>
      <c r="B545" t="s">
        <v>38</v>
      </c>
      <c r="C545" s="2">
        <v>46034</v>
      </c>
      <c r="D545">
        <v>448.8</v>
      </c>
      <c r="E545">
        <v>91.5</v>
      </c>
      <c r="F545">
        <v>1.7</v>
      </c>
      <c r="G545">
        <v>7</v>
      </c>
      <c r="H545">
        <v>48.2</v>
      </c>
      <c r="I545">
        <v>88</v>
      </c>
    </row>
    <row r="546" spans="1:9" x14ac:dyDescent="0.35">
      <c r="A546" t="s">
        <v>27</v>
      </c>
      <c r="B546" t="s">
        <v>28</v>
      </c>
      <c r="C546" s="2">
        <v>46031</v>
      </c>
      <c r="D546">
        <v>420.1</v>
      </c>
      <c r="E546">
        <v>98.1</v>
      </c>
      <c r="F546">
        <v>3.3</v>
      </c>
      <c r="G546">
        <v>6</v>
      </c>
      <c r="H546">
        <v>45.6</v>
      </c>
      <c r="I546">
        <v>97.2</v>
      </c>
    </row>
    <row r="547" spans="1:9" x14ac:dyDescent="0.35">
      <c r="A547" t="s">
        <v>19</v>
      </c>
      <c r="B547" t="s">
        <v>20</v>
      </c>
      <c r="C547" s="2">
        <v>46100</v>
      </c>
      <c r="D547">
        <v>436.3</v>
      </c>
      <c r="E547">
        <v>108.3</v>
      </c>
      <c r="F547">
        <v>1.9</v>
      </c>
      <c r="G547">
        <v>1</v>
      </c>
      <c r="H547">
        <v>41.7</v>
      </c>
      <c r="I547">
        <v>91.1</v>
      </c>
    </row>
    <row r="548" spans="1:9" x14ac:dyDescent="0.35">
      <c r="A548" t="s">
        <v>9</v>
      </c>
      <c r="B548" t="s">
        <v>10</v>
      </c>
      <c r="C548" s="2">
        <v>46094</v>
      </c>
      <c r="D548">
        <v>106.8</v>
      </c>
      <c r="E548">
        <v>29.7</v>
      </c>
      <c r="F548">
        <v>4.3</v>
      </c>
      <c r="G548">
        <v>5</v>
      </c>
      <c r="H548">
        <v>69.400000000000006</v>
      </c>
      <c r="I548">
        <v>97.2</v>
      </c>
    </row>
    <row r="549" spans="1:9" x14ac:dyDescent="0.35">
      <c r="A549" t="s">
        <v>41</v>
      </c>
      <c r="B549" t="s">
        <v>42</v>
      </c>
      <c r="C549" s="2">
        <v>46055</v>
      </c>
      <c r="D549">
        <v>336.9</v>
      </c>
      <c r="E549">
        <v>62.3</v>
      </c>
      <c r="F549">
        <v>2.6</v>
      </c>
      <c r="G549">
        <v>4</v>
      </c>
      <c r="H549">
        <v>64.099999999999994</v>
      </c>
      <c r="I549">
        <v>99.4</v>
      </c>
    </row>
    <row r="550" spans="1:9" x14ac:dyDescent="0.35">
      <c r="A550" t="s">
        <v>35</v>
      </c>
      <c r="B550" t="s">
        <v>36</v>
      </c>
      <c r="C550" s="2">
        <v>46110</v>
      </c>
      <c r="D550">
        <v>250.5</v>
      </c>
      <c r="E550">
        <v>57.1</v>
      </c>
      <c r="F550">
        <v>0.3</v>
      </c>
      <c r="G550">
        <v>2</v>
      </c>
      <c r="H550">
        <v>41.6</v>
      </c>
      <c r="I550">
        <v>90.7</v>
      </c>
    </row>
    <row r="551" spans="1:9" x14ac:dyDescent="0.35">
      <c r="A551" t="s">
        <v>19</v>
      </c>
      <c r="B551" t="s">
        <v>20</v>
      </c>
      <c r="C551" s="2">
        <v>46109</v>
      </c>
      <c r="D551">
        <v>339.4</v>
      </c>
      <c r="E551">
        <v>68.400000000000006</v>
      </c>
      <c r="F551">
        <v>2</v>
      </c>
      <c r="G551">
        <v>6</v>
      </c>
      <c r="H551">
        <v>53.2</v>
      </c>
      <c r="I551">
        <v>85.1</v>
      </c>
    </row>
    <row r="552" spans="1:9" x14ac:dyDescent="0.35">
      <c r="A552" t="s">
        <v>47</v>
      </c>
      <c r="B552" t="s">
        <v>48</v>
      </c>
      <c r="C552" s="2">
        <v>46054</v>
      </c>
      <c r="D552">
        <v>186.3</v>
      </c>
      <c r="E552">
        <v>48.1</v>
      </c>
      <c r="F552">
        <v>3.4</v>
      </c>
      <c r="G552">
        <v>6</v>
      </c>
      <c r="H552">
        <v>33.4</v>
      </c>
      <c r="I552">
        <v>99</v>
      </c>
    </row>
    <row r="553" spans="1:9" x14ac:dyDescent="0.35">
      <c r="A553" t="s">
        <v>43</v>
      </c>
      <c r="B553" t="s">
        <v>44</v>
      </c>
      <c r="C553" s="2">
        <v>46063</v>
      </c>
      <c r="D553">
        <v>210.8</v>
      </c>
      <c r="E553">
        <v>40.4</v>
      </c>
      <c r="F553">
        <v>1.4</v>
      </c>
      <c r="G553">
        <v>4</v>
      </c>
      <c r="H553">
        <v>52.5</v>
      </c>
      <c r="I553">
        <v>88</v>
      </c>
    </row>
    <row r="554" spans="1:9" x14ac:dyDescent="0.35">
      <c r="A554" t="s">
        <v>19</v>
      </c>
      <c r="B554" t="s">
        <v>20</v>
      </c>
      <c r="C554" s="2">
        <v>46056</v>
      </c>
      <c r="D554">
        <v>156.5</v>
      </c>
      <c r="E554">
        <v>46.8</v>
      </c>
      <c r="F554">
        <v>1.3</v>
      </c>
      <c r="G554">
        <v>6</v>
      </c>
      <c r="H554">
        <v>37</v>
      </c>
      <c r="I554">
        <v>86.6</v>
      </c>
    </row>
    <row r="555" spans="1:9" x14ac:dyDescent="0.35">
      <c r="A555" t="s">
        <v>11</v>
      </c>
      <c r="B555" t="s">
        <v>12</v>
      </c>
      <c r="C555" s="2">
        <v>46109</v>
      </c>
      <c r="D555">
        <v>433.6</v>
      </c>
      <c r="E555">
        <v>105</v>
      </c>
      <c r="F555">
        <v>0.2</v>
      </c>
      <c r="G555">
        <v>1</v>
      </c>
      <c r="H555">
        <v>68.2</v>
      </c>
      <c r="I555">
        <v>90.6</v>
      </c>
    </row>
    <row r="556" spans="1:9" x14ac:dyDescent="0.35">
      <c r="A556" t="s">
        <v>23</v>
      </c>
      <c r="B556" t="s">
        <v>24</v>
      </c>
      <c r="C556" s="2">
        <v>46086</v>
      </c>
      <c r="D556">
        <v>412.3</v>
      </c>
      <c r="E556">
        <v>79.599999999999994</v>
      </c>
      <c r="F556">
        <v>2.7</v>
      </c>
      <c r="G556">
        <v>5</v>
      </c>
      <c r="H556">
        <v>52.1</v>
      </c>
      <c r="I556">
        <v>99.8</v>
      </c>
    </row>
    <row r="557" spans="1:9" x14ac:dyDescent="0.35">
      <c r="A557" t="s">
        <v>31</v>
      </c>
      <c r="B557" t="s">
        <v>32</v>
      </c>
      <c r="C557" s="2">
        <v>46058</v>
      </c>
      <c r="D557">
        <v>227.2</v>
      </c>
      <c r="E557">
        <v>47.1</v>
      </c>
      <c r="F557">
        <v>0.8</v>
      </c>
      <c r="G557">
        <v>7</v>
      </c>
      <c r="H557">
        <v>51.5</v>
      </c>
      <c r="I557">
        <v>93.1</v>
      </c>
    </row>
    <row r="558" spans="1:9" x14ac:dyDescent="0.35">
      <c r="A558" t="s">
        <v>31</v>
      </c>
      <c r="B558" t="s">
        <v>32</v>
      </c>
      <c r="C558" s="2">
        <v>46067</v>
      </c>
      <c r="D558">
        <v>225.7</v>
      </c>
      <c r="E558">
        <v>48.5</v>
      </c>
      <c r="F558">
        <v>1</v>
      </c>
      <c r="G558">
        <v>2</v>
      </c>
      <c r="H558">
        <v>61.4</v>
      </c>
      <c r="I558">
        <v>91.9</v>
      </c>
    </row>
    <row r="559" spans="1:9" x14ac:dyDescent="0.35">
      <c r="A559" t="s">
        <v>27</v>
      </c>
      <c r="B559" t="s">
        <v>28</v>
      </c>
      <c r="C559" s="2">
        <v>46024</v>
      </c>
      <c r="D559">
        <v>329.4</v>
      </c>
      <c r="E559">
        <v>86.1</v>
      </c>
      <c r="F559">
        <v>0.6</v>
      </c>
      <c r="G559">
        <v>6</v>
      </c>
      <c r="H559">
        <v>57.6</v>
      </c>
      <c r="I559">
        <v>88.9</v>
      </c>
    </row>
    <row r="560" spans="1:9" x14ac:dyDescent="0.35">
      <c r="A560" t="s">
        <v>13</v>
      </c>
      <c r="B560" t="s">
        <v>14</v>
      </c>
      <c r="C560" s="2">
        <v>46056</v>
      </c>
      <c r="D560">
        <v>167.7</v>
      </c>
      <c r="E560">
        <v>41.2</v>
      </c>
      <c r="F560">
        <v>2.8</v>
      </c>
      <c r="G560">
        <v>6</v>
      </c>
      <c r="H560">
        <v>38.299999999999997</v>
      </c>
      <c r="I560">
        <v>91.4</v>
      </c>
    </row>
    <row r="561" spans="1:9" x14ac:dyDescent="0.35">
      <c r="A561" t="s">
        <v>15</v>
      </c>
      <c r="B561" t="s">
        <v>16</v>
      </c>
      <c r="C561" s="2">
        <v>46112</v>
      </c>
      <c r="D561">
        <v>358.3</v>
      </c>
      <c r="E561">
        <v>94.6</v>
      </c>
      <c r="F561">
        <v>1.9</v>
      </c>
      <c r="G561">
        <v>8</v>
      </c>
      <c r="H561">
        <v>38.1</v>
      </c>
      <c r="I561">
        <v>87</v>
      </c>
    </row>
    <row r="562" spans="1:9" x14ac:dyDescent="0.35">
      <c r="A562" t="s">
        <v>41</v>
      </c>
      <c r="B562" t="s">
        <v>42</v>
      </c>
      <c r="C562" s="2">
        <v>46110</v>
      </c>
      <c r="D562">
        <v>164.6</v>
      </c>
      <c r="E562">
        <v>53.6</v>
      </c>
      <c r="F562">
        <v>1.4</v>
      </c>
      <c r="G562">
        <v>4</v>
      </c>
      <c r="H562">
        <v>55</v>
      </c>
      <c r="I562">
        <v>97.8</v>
      </c>
    </row>
    <row r="563" spans="1:9" x14ac:dyDescent="0.35">
      <c r="A563" t="s">
        <v>33</v>
      </c>
      <c r="B563" t="s">
        <v>34</v>
      </c>
      <c r="C563" s="2">
        <v>46041</v>
      </c>
      <c r="D563">
        <v>376</v>
      </c>
      <c r="E563">
        <v>78.400000000000006</v>
      </c>
      <c r="F563">
        <v>2.2000000000000002</v>
      </c>
      <c r="G563">
        <v>1</v>
      </c>
      <c r="H563">
        <v>37.9</v>
      </c>
      <c r="I563">
        <v>92.5</v>
      </c>
    </row>
    <row r="564" spans="1:9" x14ac:dyDescent="0.35">
      <c r="A564" t="s">
        <v>31</v>
      </c>
      <c r="B564" t="s">
        <v>32</v>
      </c>
      <c r="C564" s="2">
        <v>46091</v>
      </c>
      <c r="D564">
        <v>346.6</v>
      </c>
      <c r="E564">
        <v>70.400000000000006</v>
      </c>
      <c r="F564">
        <v>1.5</v>
      </c>
      <c r="G564">
        <v>1</v>
      </c>
      <c r="H564">
        <v>47.9</v>
      </c>
      <c r="I564">
        <v>95.4</v>
      </c>
    </row>
    <row r="565" spans="1:9" x14ac:dyDescent="0.35">
      <c r="A565" t="s">
        <v>21</v>
      </c>
      <c r="B565" t="s">
        <v>22</v>
      </c>
      <c r="C565" s="2">
        <v>46050</v>
      </c>
      <c r="D565">
        <v>381.1</v>
      </c>
      <c r="E565">
        <v>93.3</v>
      </c>
      <c r="F565">
        <v>2.9</v>
      </c>
      <c r="G565">
        <v>8</v>
      </c>
      <c r="H565">
        <v>63.5</v>
      </c>
      <c r="I565">
        <v>88.9</v>
      </c>
    </row>
    <row r="566" spans="1:9" x14ac:dyDescent="0.35">
      <c r="A566" t="s">
        <v>17</v>
      </c>
      <c r="B566" t="s">
        <v>18</v>
      </c>
      <c r="C566" s="2">
        <v>46094</v>
      </c>
      <c r="D566">
        <v>286.3</v>
      </c>
      <c r="E566">
        <v>57.4</v>
      </c>
      <c r="F566">
        <v>1.7</v>
      </c>
      <c r="G566">
        <v>7</v>
      </c>
      <c r="H566">
        <v>35.5</v>
      </c>
      <c r="I566">
        <v>98</v>
      </c>
    </row>
    <row r="567" spans="1:9" x14ac:dyDescent="0.35">
      <c r="A567" t="s">
        <v>45</v>
      </c>
      <c r="B567" t="s">
        <v>46</v>
      </c>
      <c r="C567" s="2">
        <v>46048</v>
      </c>
      <c r="D567">
        <v>293.39999999999998</v>
      </c>
      <c r="E567">
        <v>64.400000000000006</v>
      </c>
      <c r="F567">
        <v>2.5</v>
      </c>
      <c r="G567">
        <v>5</v>
      </c>
      <c r="H567">
        <v>46</v>
      </c>
      <c r="I567">
        <v>95.1</v>
      </c>
    </row>
    <row r="568" spans="1:9" x14ac:dyDescent="0.35">
      <c r="A568" t="s">
        <v>43</v>
      </c>
      <c r="B568" t="s">
        <v>44</v>
      </c>
      <c r="C568" s="2">
        <v>46080</v>
      </c>
      <c r="D568">
        <v>409.2</v>
      </c>
      <c r="E568">
        <v>106.9</v>
      </c>
      <c r="F568">
        <v>1.4</v>
      </c>
      <c r="G568">
        <v>3</v>
      </c>
      <c r="H568">
        <v>69.099999999999994</v>
      </c>
      <c r="I568">
        <v>94.6</v>
      </c>
    </row>
    <row r="569" spans="1:9" x14ac:dyDescent="0.35">
      <c r="A569" t="s">
        <v>23</v>
      </c>
      <c r="B569" t="s">
        <v>24</v>
      </c>
      <c r="C569" s="2">
        <v>46076</v>
      </c>
      <c r="D569">
        <v>313.60000000000002</v>
      </c>
      <c r="E569">
        <v>72.2</v>
      </c>
      <c r="F569">
        <v>3.9</v>
      </c>
      <c r="G569">
        <v>2</v>
      </c>
      <c r="H569">
        <v>33.6</v>
      </c>
      <c r="I569">
        <v>90.2</v>
      </c>
    </row>
    <row r="570" spans="1:9" x14ac:dyDescent="0.35">
      <c r="A570" t="s">
        <v>23</v>
      </c>
      <c r="B570" t="s">
        <v>24</v>
      </c>
      <c r="C570" s="2">
        <v>46063</v>
      </c>
      <c r="D570">
        <v>321.60000000000002</v>
      </c>
      <c r="E570">
        <v>68.2</v>
      </c>
      <c r="F570">
        <v>2.8</v>
      </c>
      <c r="G570">
        <v>7</v>
      </c>
      <c r="H570">
        <v>42.2</v>
      </c>
      <c r="I570">
        <v>91.7</v>
      </c>
    </row>
    <row r="571" spans="1:9" x14ac:dyDescent="0.35">
      <c r="A571" t="s">
        <v>17</v>
      </c>
      <c r="B571" t="s">
        <v>18</v>
      </c>
      <c r="C571" s="2">
        <v>46098</v>
      </c>
      <c r="D571">
        <v>272.7</v>
      </c>
      <c r="E571">
        <v>67.900000000000006</v>
      </c>
      <c r="F571">
        <v>0.9</v>
      </c>
      <c r="G571">
        <v>1</v>
      </c>
      <c r="H571">
        <v>35.6</v>
      </c>
      <c r="I571">
        <v>88.5</v>
      </c>
    </row>
    <row r="572" spans="1:9" x14ac:dyDescent="0.35">
      <c r="A572" t="s">
        <v>47</v>
      </c>
      <c r="B572" t="s">
        <v>48</v>
      </c>
      <c r="C572" s="2">
        <v>46112</v>
      </c>
      <c r="D572">
        <v>357.4</v>
      </c>
      <c r="E572">
        <v>106.1</v>
      </c>
      <c r="F572">
        <v>1.9</v>
      </c>
      <c r="G572">
        <v>2</v>
      </c>
      <c r="H572">
        <v>32.9</v>
      </c>
      <c r="I572">
        <v>98.2</v>
      </c>
    </row>
    <row r="573" spans="1:9" x14ac:dyDescent="0.35">
      <c r="A573" t="s">
        <v>13</v>
      </c>
      <c r="B573" t="s">
        <v>14</v>
      </c>
      <c r="C573" s="2">
        <v>46029</v>
      </c>
      <c r="D573">
        <v>89.8</v>
      </c>
      <c r="E573">
        <v>23.2</v>
      </c>
      <c r="F573">
        <v>3.5</v>
      </c>
      <c r="G573">
        <v>2</v>
      </c>
      <c r="H573">
        <v>34.700000000000003</v>
      </c>
      <c r="I573">
        <v>94.3</v>
      </c>
    </row>
    <row r="574" spans="1:9" x14ac:dyDescent="0.35">
      <c r="A574" t="s">
        <v>11</v>
      </c>
      <c r="B574" t="s">
        <v>12</v>
      </c>
      <c r="C574" s="2">
        <v>46106</v>
      </c>
      <c r="D574">
        <v>424.7</v>
      </c>
      <c r="E574">
        <v>110.2</v>
      </c>
      <c r="F574">
        <v>1.2</v>
      </c>
      <c r="G574">
        <v>5</v>
      </c>
      <c r="H574">
        <v>49.9</v>
      </c>
      <c r="I574">
        <v>86.9</v>
      </c>
    </row>
    <row r="575" spans="1:9" x14ac:dyDescent="0.35">
      <c r="A575" t="s">
        <v>31</v>
      </c>
      <c r="B575" t="s">
        <v>32</v>
      </c>
      <c r="C575" s="2">
        <v>46044</v>
      </c>
      <c r="D575">
        <v>90.6</v>
      </c>
      <c r="E575">
        <v>19.7</v>
      </c>
      <c r="F575">
        <v>3.9</v>
      </c>
      <c r="G575">
        <v>6</v>
      </c>
      <c r="H575">
        <v>68.900000000000006</v>
      </c>
      <c r="I575">
        <v>92</v>
      </c>
    </row>
    <row r="576" spans="1:9" x14ac:dyDescent="0.35">
      <c r="A576" t="s">
        <v>13</v>
      </c>
      <c r="B576" t="s">
        <v>14</v>
      </c>
      <c r="C576" s="2">
        <v>46057</v>
      </c>
      <c r="D576">
        <v>283</v>
      </c>
      <c r="E576">
        <v>89.4</v>
      </c>
      <c r="F576">
        <v>4.3</v>
      </c>
      <c r="G576">
        <v>3</v>
      </c>
      <c r="H576">
        <v>56.6</v>
      </c>
      <c r="I576">
        <v>91.8</v>
      </c>
    </row>
    <row r="577" spans="1:9" x14ac:dyDescent="0.35">
      <c r="A577" t="s">
        <v>41</v>
      </c>
      <c r="B577" t="s">
        <v>42</v>
      </c>
      <c r="C577" s="2">
        <v>46078</v>
      </c>
      <c r="D577">
        <v>273.7</v>
      </c>
      <c r="E577">
        <v>60.5</v>
      </c>
      <c r="F577">
        <v>1.5</v>
      </c>
      <c r="G577">
        <v>6</v>
      </c>
      <c r="H577">
        <v>51.7</v>
      </c>
      <c r="I577">
        <v>88.4</v>
      </c>
    </row>
    <row r="578" spans="1:9" x14ac:dyDescent="0.35">
      <c r="A578" t="s">
        <v>11</v>
      </c>
      <c r="B578" t="s">
        <v>12</v>
      </c>
      <c r="C578" s="2">
        <v>46079</v>
      </c>
      <c r="D578">
        <v>193.9</v>
      </c>
      <c r="E578">
        <v>49.6</v>
      </c>
      <c r="F578">
        <v>0.9</v>
      </c>
      <c r="G578">
        <v>1</v>
      </c>
      <c r="H578">
        <v>30</v>
      </c>
      <c r="I578">
        <v>97.2</v>
      </c>
    </row>
    <row r="579" spans="1:9" x14ac:dyDescent="0.35">
      <c r="A579" t="s">
        <v>25</v>
      </c>
      <c r="B579" t="s">
        <v>26</v>
      </c>
      <c r="C579" s="2">
        <v>46067</v>
      </c>
      <c r="D579">
        <v>186.1</v>
      </c>
      <c r="E579">
        <v>43.8</v>
      </c>
      <c r="F579">
        <v>3.2</v>
      </c>
      <c r="G579">
        <v>8</v>
      </c>
      <c r="H579">
        <v>72.599999999999994</v>
      </c>
      <c r="I579">
        <v>92.2</v>
      </c>
    </row>
    <row r="580" spans="1:9" x14ac:dyDescent="0.35">
      <c r="A580" t="s">
        <v>27</v>
      </c>
      <c r="B580" t="s">
        <v>28</v>
      </c>
      <c r="C580" s="2">
        <v>46078</v>
      </c>
      <c r="D580">
        <v>375.2</v>
      </c>
      <c r="E580">
        <v>85</v>
      </c>
      <c r="F580">
        <v>3.6</v>
      </c>
      <c r="G580">
        <v>6</v>
      </c>
      <c r="H580">
        <v>38.5</v>
      </c>
      <c r="I580">
        <v>98.2</v>
      </c>
    </row>
    <row r="581" spans="1:9" x14ac:dyDescent="0.35">
      <c r="A581" t="s">
        <v>15</v>
      </c>
      <c r="B581" t="s">
        <v>16</v>
      </c>
      <c r="C581" s="2">
        <v>46073</v>
      </c>
      <c r="D581">
        <v>172.5</v>
      </c>
      <c r="E581">
        <v>36.5</v>
      </c>
      <c r="F581">
        <v>3</v>
      </c>
      <c r="G581">
        <v>7</v>
      </c>
      <c r="H581">
        <v>39.9</v>
      </c>
      <c r="I581">
        <v>86.2</v>
      </c>
    </row>
    <row r="582" spans="1:9" x14ac:dyDescent="0.35">
      <c r="A582" t="s">
        <v>19</v>
      </c>
      <c r="B582" t="s">
        <v>20</v>
      </c>
      <c r="C582" s="2">
        <v>46089</v>
      </c>
      <c r="D582">
        <v>362.9</v>
      </c>
      <c r="E582">
        <v>69</v>
      </c>
      <c r="F582">
        <v>3.7</v>
      </c>
      <c r="G582">
        <v>5</v>
      </c>
      <c r="H582">
        <v>42.8</v>
      </c>
      <c r="I582">
        <v>96.1</v>
      </c>
    </row>
    <row r="583" spans="1:9" x14ac:dyDescent="0.35">
      <c r="A583" t="s">
        <v>47</v>
      </c>
      <c r="B583" t="s">
        <v>48</v>
      </c>
      <c r="C583" s="2">
        <v>46075</v>
      </c>
      <c r="D583">
        <v>149.6</v>
      </c>
      <c r="E583">
        <v>50.1</v>
      </c>
      <c r="F583">
        <v>0.8</v>
      </c>
      <c r="G583">
        <v>2</v>
      </c>
      <c r="H583">
        <v>58.7</v>
      </c>
      <c r="I583">
        <v>94.3</v>
      </c>
    </row>
    <row r="584" spans="1:9" x14ac:dyDescent="0.35">
      <c r="A584" t="s">
        <v>47</v>
      </c>
      <c r="B584" t="s">
        <v>48</v>
      </c>
      <c r="C584" s="2">
        <v>46112</v>
      </c>
      <c r="D584">
        <v>310.39999999999998</v>
      </c>
      <c r="E584">
        <v>93.9</v>
      </c>
      <c r="F584">
        <v>0.3</v>
      </c>
      <c r="G584">
        <v>1</v>
      </c>
      <c r="H584">
        <v>73.599999999999994</v>
      </c>
      <c r="I584">
        <v>85.3</v>
      </c>
    </row>
    <row r="585" spans="1:9" x14ac:dyDescent="0.35">
      <c r="A585" t="s">
        <v>9</v>
      </c>
      <c r="B585" t="s">
        <v>10</v>
      </c>
      <c r="C585" s="2">
        <v>46059</v>
      </c>
      <c r="D585">
        <v>179.6</v>
      </c>
      <c r="E585">
        <v>38</v>
      </c>
      <c r="F585">
        <v>3.3</v>
      </c>
      <c r="G585">
        <v>4</v>
      </c>
      <c r="H585">
        <v>34.1</v>
      </c>
      <c r="I585">
        <v>85.2</v>
      </c>
    </row>
    <row r="586" spans="1:9" x14ac:dyDescent="0.35">
      <c r="A586" t="s">
        <v>33</v>
      </c>
      <c r="B586" t="s">
        <v>34</v>
      </c>
      <c r="C586" s="2">
        <v>46066</v>
      </c>
      <c r="D586">
        <v>235.5</v>
      </c>
      <c r="E586">
        <v>47.9</v>
      </c>
      <c r="F586">
        <v>2.2999999999999998</v>
      </c>
      <c r="G586">
        <v>6</v>
      </c>
      <c r="H586">
        <v>50.9</v>
      </c>
      <c r="I586">
        <v>96.9</v>
      </c>
    </row>
    <row r="587" spans="1:9" x14ac:dyDescent="0.35">
      <c r="A587" t="s">
        <v>23</v>
      </c>
      <c r="B587" t="s">
        <v>24</v>
      </c>
      <c r="C587" s="2">
        <v>46033</v>
      </c>
      <c r="D587">
        <v>392.1</v>
      </c>
      <c r="E587">
        <v>73</v>
      </c>
      <c r="F587">
        <v>0.4</v>
      </c>
      <c r="G587">
        <v>7</v>
      </c>
      <c r="H587">
        <v>33.200000000000003</v>
      </c>
      <c r="I587">
        <v>92.1</v>
      </c>
    </row>
    <row r="588" spans="1:9" x14ac:dyDescent="0.35">
      <c r="A588" t="s">
        <v>33</v>
      </c>
      <c r="B588" t="s">
        <v>34</v>
      </c>
      <c r="C588" s="2">
        <v>46055</v>
      </c>
      <c r="D588">
        <v>382.4</v>
      </c>
      <c r="E588">
        <v>75.900000000000006</v>
      </c>
      <c r="F588">
        <v>0.7</v>
      </c>
      <c r="G588">
        <v>4</v>
      </c>
      <c r="H588">
        <v>47.3</v>
      </c>
      <c r="I588">
        <v>99.6</v>
      </c>
    </row>
    <row r="589" spans="1:9" x14ac:dyDescent="0.35">
      <c r="A589" t="s">
        <v>19</v>
      </c>
      <c r="B589" t="s">
        <v>20</v>
      </c>
      <c r="C589" s="2">
        <v>46027</v>
      </c>
      <c r="D589">
        <v>153.69999999999999</v>
      </c>
      <c r="E589">
        <v>32.1</v>
      </c>
      <c r="F589">
        <v>0.6</v>
      </c>
      <c r="G589">
        <v>4</v>
      </c>
      <c r="H589">
        <v>51.3</v>
      </c>
      <c r="I589">
        <v>95.2</v>
      </c>
    </row>
    <row r="590" spans="1:9" x14ac:dyDescent="0.35">
      <c r="A590" t="s">
        <v>29</v>
      </c>
      <c r="B590" t="s">
        <v>30</v>
      </c>
      <c r="C590" s="2">
        <v>46064</v>
      </c>
      <c r="D590">
        <v>138.69999999999999</v>
      </c>
      <c r="E590">
        <v>29.1</v>
      </c>
      <c r="F590">
        <v>3.4</v>
      </c>
      <c r="G590">
        <v>2</v>
      </c>
      <c r="H590">
        <v>41.4</v>
      </c>
      <c r="I590">
        <v>94.6</v>
      </c>
    </row>
    <row r="591" spans="1:9" x14ac:dyDescent="0.35">
      <c r="A591" t="s">
        <v>33</v>
      </c>
      <c r="B591" t="s">
        <v>34</v>
      </c>
      <c r="C591" s="2">
        <v>46069</v>
      </c>
      <c r="D591">
        <v>408.4</v>
      </c>
      <c r="E591">
        <v>79.599999999999994</v>
      </c>
      <c r="F591">
        <v>1.1000000000000001</v>
      </c>
      <c r="G591">
        <v>2</v>
      </c>
      <c r="H591">
        <v>40.6</v>
      </c>
      <c r="I591">
        <v>91.5</v>
      </c>
    </row>
    <row r="592" spans="1:9" x14ac:dyDescent="0.35">
      <c r="A592" t="s">
        <v>27</v>
      </c>
      <c r="B592" t="s">
        <v>28</v>
      </c>
      <c r="C592" s="2">
        <v>46044</v>
      </c>
      <c r="D592">
        <v>373.9</v>
      </c>
      <c r="E592">
        <v>85.4</v>
      </c>
      <c r="F592">
        <v>1.9</v>
      </c>
      <c r="G592">
        <v>4</v>
      </c>
      <c r="H592">
        <v>30.4</v>
      </c>
      <c r="I592">
        <v>85.6</v>
      </c>
    </row>
    <row r="593" spans="1:9" x14ac:dyDescent="0.35">
      <c r="A593" t="s">
        <v>43</v>
      </c>
      <c r="B593" t="s">
        <v>44</v>
      </c>
      <c r="C593" s="2">
        <v>46111</v>
      </c>
      <c r="D593">
        <v>300.60000000000002</v>
      </c>
      <c r="E593">
        <v>79</v>
      </c>
      <c r="F593">
        <v>0.6</v>
      </c>
      <c r="G593">
        <v>3</v>
      </c>
      <c r="H593">
        <v>52.5</v>
      </c>
      <c r="I593">
        <v>95.3</v>
      </c>
    </row>
    <row r="594" spans="1:9" x14ac:dyDescent="0.35">
      <c r="A594" t="s">
        <v>23</v>
      </c>
      <c r="B594" t="s">
        <v>24</v>
      </c>
      <c r="C594" s="2">
        <v>46103</v>
      </c>
      <c r="D594">
        <v>102.2</v>
      </c>
      <c r="E594">
        <v>27.2</v>
      </c>
      <c r="F594">
        <v>0.9</v>
      </c>
      <c r="G594">
        <v>2</v>
      </c>
      <c r="H594">
        <v>35.700000000000003</v>
      </c>
      <c r="I594">
        <v>88.5</v>
      </c>
    </row>
    <row r="595" spans="1:9" x14ac:dyDescent="0.35">
      <c r="A595" t="s">
        <v>13</v>
      </c>
      <c r="B595" t="s">
        <v>14</v>
      </c>
      <c r="C595" s="2">
        <v>46105</v>
      </c>
      <c r="D595">
        <v>360</v>
      </c>
      <c r="E595">
        <v>72.400000000000006</v>
      </c>
      <c r="F595">
        <v>2.1</v>
      </c>
      <c r="G595">
        <v>4</v>
      </c>
      <c r="H595">
        <v>31</v>
      </c>
      <c r="I595">
        <v>90.7</v>
      </c>
    </row>
    <row r="596" spans="1:9" x14ac:dyDescent="0.35">
      <c r="A596" t="s">
        <v>25</v>
      </c>
      <c r="B596" t="s">
        <v>26</v>
      </c>
      <c r="C596" s="2">
        <v>46055</v>
      </c>
      <c r="D596">
        <v>412.5</v>
      </c>
      <c r="E596">
        <v>100.4</v>
      </c>
      <c r="F596">
        <v>2.1</v>
      </c>
      <c r="G596">
        <v>5</v>
      </c>
      <c r="H596">
        <v>54.4</v>
      </c>
      <c r="I596">
        <v>92.4</v>
      </c>
    </row>
    <row r="597" spans="1:9" x14ac:dyDescent="0.35">
      <c r="A597" t="s">
        <v>41</v>
      </c>
      <c r="B597" t="s">
        <v>42</v>
      </c>
      <c r="C597" s="2">
        <v>46046</v>
      </c>
      <c r="D597">
        <v>281.10000000000002</v>
      </c>
      <c r="E597">
        <v>76.5</v>
      </c>
      <c r="F597">
        <v>2.2000000000000002</v>
      </c>
      <c r="G597">
        <v>3</v>
      </c>
      <c r="H597">
        <v>33.1</v>
      </c>
      <c r="I597">
        <v>87.3</v>
      </c>
    </row>
    <row r="598" spans="1:9" x14ac:dyDescent="0.35">
      <c r="A598" t="s">
        <v>29</v>
      </c>
      <c r="B598" t="s">
        <v>30</v>
      </c>
      <c r="C598" s="2">
        <v>46056</v>
      </c>
      <c r="D598">
        <v>280.39999999999998</v>
      </c>
      <c r="E598">
        <v>69.599999999999994</v>
      </c>
      <c r="F598">
        <v>3.5</v>
      </c>
      <c r="G598">
        <v>7</v>
      </c>
      <c r="H598">
        <v>63</v>
      </c>
      <c r="I598">
        <v>98.2</v>
      </c>
    </row>
    <row r="599" spans="1:9" x14ac:dyDescent="0.35">
      <c r="A599" t="s">
        <v>45</v>
      </c>
      <c r="B599" t="s">
        <v>46</v>
      </c>
      <c r="C599" s="2">
        <v>46069</v>
      </c>
      <c r="D599">
        <v>367.1</v>
      </c>
      <c r="E599">
        <v>106.6</v>
      </c>
      <c r="F599">
        <v>3.3</v>
      </c>
      <c r="G599">
        <v>7</v>
      </c>
      <c r="H599">
        <v>38.5</v>
      </c>
      <c r="I599">
        <v>95.2</v>
      </c>
    </row>
    <row r="600" spans="1:9" x14ac:dyDescent="0.35">
      <c r="A600" t="s">
        <v>13</v>
      </c>
      <c r="B600" t="s">
        <v>14</v>
      </c>
      <c r="C600" s="2">
        <v>46042</v>
      </c>
      <c r="D600">
        <v>306.8</v>
      </c>
      <c r="E600">
        <v>83.6</v>
      </c>
      <c r="F600">
        <v>3</v>
      </c>
      <c r="G600">
        <v>2</v>
      </c>
      <c r="H600">
        <v>34.299999999999997</v>
      </c>
      <c r="I600">
        <v>94.9</v>
      </c>
    </row>
    <row r="601" spans="1:9" x14ac:dyDescent="0.35">
      <c r="A601" t="s">
        <v>21</v>
      </c>
      <c r="B601" t="s">
        <v>22</v>
      </c>
      <c r="C601" s="2">
        <v>46039</v>
      </c>
      <c r="D601">
        <v>146.1</v>
      </c>
      <c r="E601">
        <v>50.7</v>
      </c>
      <c r="F601">
        <v>0.7</v>
      </c>
      <c r="G601">
        <v>4</v>
      </c>
      <c r="H601">
        <v>34.4</v>
      </c>
      <c r="I601">
        <v>93.6</v>
      </c>
    </row>
    <row r="602" spans="1:9" x14ac:dyDescent="0.35">
      <c r="A602" t="s">
        <v>39</v>
      </c>
      <c r="B602" t="s">
        <v>40</v>
      </c>
      <c r="C602" s="2">
        <v>46107</v>
      </c>
      <c r="D602">
        <v>261.3</v>
      </c>
      <c r="E602">
        <v>58.3</v>
      </c>
      <c r="F602">
        <v>2.7</v>
      </c>
      <c r="G602">
        <v>1</v>
      </c>
      <c r="H602">
        <v>46.5</v>
      </c>
      <c r="I602">
        <v>94.1</v>
      </c>
    </row>
    <row r="603" spans="1:9" x14ac:dyDescent="0.35">
      <c r="A603" t="s">
        <v>11</v>
      </c>
      <c r="B603" t="s">
        <v>12</v>
      </c>
      <c r="C603" s="2">
        <v>46024</v>
      </c>
      <c r="D603">
        <v>424.2</v>
      </c>
      <c r="E603">
        <v>126.1</v>
      </c>
      <c r="F603">
        <v>2.2999999999999998</v>
      </c>
      <c r="G603">
        <v>2</v>
      </c>
      <c r="H603">
        <v>51.1</v>
      </c>
      <c r="I603">
        <v>94.6</v>
      </c>
    </row>
    <row r="604" spans="1:9" x14ac:dyDescent="0.35">
      <c r="A604" t="s">
        <v>17</v>
      </c>
      <c r="B604" t="s">
        <v>18</v>
      </c>
      <c r="C604" s="2">
        <v>46094</v>
      </c>
      <c r="D604">
        <v>355.1</v>
      </c>
      <c r="E604">
        <v>68.2</v>
      </c>
      <c r="F604">
        <v>3.7</v>
      </c>
      <c r="G604">
        <v>1</v>
      </c>
      <c r="H604">
        <v>67.099999999999994</v>
      </c>
      <c r="I604">
        <v>89</v>
      </c>
    </row>
    <row r="605" spans="1:9" x14ac:dyDescent="0.35">
      <c r="A605" t="s">
        <v>21</v>
      </c>
      <c r="B605" t="s">
        <v>22</v>
      </c>
      <c r="C605" s="2">
        <v>46032</v>
      </c>
      <c r="D605">
        <v>388.7</v>
      </c>
      <c r="E605">
        <v>129.1</v>
      </c>
      <c r="F605">
        <v>1.1000000000000001</v>
      </c>
      <c r="G605">
        <v>2</v>
      </c>
      <c r="H605">
        <v>34.6</v>
      </c>
      <c r="I605">
        <v>88.5</v>
      </c>
    </row>
    <row r="606" spans="1:9" x14ac:dyDescent="0.35">
      <c r="A606" t="s">
        <v>39</v>
      </c>
      <c r="B606" t="s">
        <v>40</v>
      </c>
      <c r="C606" s="2">
        <v>46047</v>
      </c>
      <c r="D606">
        <v>151.5</v>
      </c>
      <c r="E606">
        <v>33.1</v>
      </c>
      <c r="F606">
        <v>2.7</v>
      </c>
      <c r="G606">
        <v>3</v>
      </c>
      <c r="H606">
        <v>55.1</v>
      </c>
      <c r="I606">
        <v>93.4</v>
      </c>
    </row>
    <row r="607" spans="1:9" x14ac:dyDescent="0.35">
      <c r="A607" t="s">
        <v>9</v>
      </c>
      <c r="B607" t="s">
        <v>10</v>
      </c>
      <c r="C607" s="2">
        <v>46104</v>
      </c>
      <c r="D607">
        <v>293.3</v>
      </c>
      <c r="E607">
        <v>63.5</v>
      </c>
      <c r="F607">
        <v>3.2</v>
      </c>
      <c r="G607">
        <v>7</v>
      </c>
      <c r="H607">
        <v>69.7</v>
      </c>
      <c r="I607">
        <v>87.5</v>
      </c>
    </row>
    <row r="608" spans="1:9" x14ac:dyDescent="0.35">
      <c r="A608" t="s">
        <v>37</v>
      </c>
      <c r="B608" t="s">
        <v>38</v>
      </c>
      <c r="C608" s="2">
        <v>46093</v>
      </c>
      <c r="D608">
        <v>228.6</v>
      </c>
      <c r="E608">
        <v>61.6</v>
      </c>
      <c r="F608">
        <v>0.9</v>
      </c>
      <c r="G608">
        <v>8</v>
      </c>
      <c r="H608">
        <v>72</v>
      </c>
      <c r="I608">
        <v>98.5</v>
      </c>
    </row>
    <row r="609" spans="1:9" x14ac:dyDescent="0.35">
      <c r="A609" t="s">
        <v>13</v>
      </c>
      <c r="B609" t="s">
        <v>14</v>
      </c>
      <c r="C609" s="2">
        <v>46064</v>
      </c>
      <c r="D609">
        <v>392.6</v>
      </c>
      <c r="E609">
        <v>100.3</v>
      </c>
      <c r="F609">
        <v>2.9</v>
      </c>
      <c r="G609">
        <v>6</v>
      </c>
      <c r="H609">
        <v>57.4</v>
      </c>
      <c r="I609">
        <v>93.4</v>
      </c>
    </row>
    <row r="610" spans="1:9" x14ac:dyDescent="0.35">
      <c r="A610" t="s">
        <v>33</v>
      </c>
      <c r="B610" t="s">
        <v>34</v>
      </c>
      <c r="C610" s="2">
        <v>46071</v>
      </c>
      <c r="D610">
        <v>363.3</v>
      </c>
      <c r="E610">
        <v>68.5</v>
      </c>
      <c r="F610">
        <v>1.3</v>
      </c>
      <c r="G610">
        <v>8</v>
      </c>
      <c r="H610">
        <v>50.1</v>
      </c>
      <c r="I610">
        <v>91</v>
      </c>
    </row>
    <row r="611" spans="1:9" x14ac:dyDescent="0.35">
      <c r="A611" t="s">
        <v>21</v>
      </c>
      <c r="B611" t="s">
        <v>22</v>
      </c>
      <c r="C611" s="2">
        <v>46059</v>
      </c>
      <c r="D611">
        <v>300.39999999999998</v>
      </c>
      <c r="E611">
        <v>71.599999999999994</v>
      </c>
      <c r="F611">
        <v>4.5</v>
      </c>
      <c r="G611">
        <v>5</v>
      </c>
      <c r="H611">
        <v>30.3</v>
      </c>
      <c r="I611">
        <v>99.8</v>
      </c>
    </row>
    <row r="612" spans="1:9" x14ac:dyDescent="0.35">
      <c r="A612" t="s">
        <v>33</v>
      </c>
      <c r="B612" t="s">
        <v>34</v>
      </c>
      <c r="C612" s="2">
        <v>46063</v>
      </c>
      <c r="D612">
        <v>88</v>
      </c>
      <c r="E612">
        <v>17.5</v>
      </c>
      <c r="F612">
        <v>3.2</v>
      </c>
      <c r="G612">
        <v>5</v>
      </c>
      <c r="H612">
        <v>71.400000000000006</v>
      </c>
      <c r="I612">
        <v>92.7</v>
      </c>
    </row>
    <row r="613" spans="1:9" x14ac:dyDescent="0.35">
      <c r="A613" t="s">
        <v>41</v>
      </c>
      <c r="B613" t="s">
        <v>42</v>
      </c>
      <c r="C613" s="2">
        <v>46096</v>
      </c>
      <c r="D613">
        <v>137.19999999999999</v>
      </c>
      <c r="E613">
        <v>47.3</v>
      </c>
      <c r="F613">
        <v>1.7</v>
      </c>
      <c r="G613">
        <v>3</v>
      </c>
      <c r="H613">
        <v>41.9</v>
      </c>
      <c r="I613">
        <v>92</v>
      </c>
    </row>
    <row r="614" spans="1:9" x14ac:dyDescent="0.35">
      <c r="A614" t="s">
        <v>19</v>
      </c>
      <c r="B614" t="s">
        <v>20</v>
      </c>
      <c r="C614" s="2">
        <v>46052</v>
      </c>
      <c r="D614">
        <v>174.8</v>
      </c>
      <c r="E614">
        <v>48.4</v>
      </c>
      <c r="F614">
        <v>2.7</v>
      </c>
      <c r="G614">
        <v>4</v>
      </c>
      <c r="H614">
        <v>63</v>
      </c>
      <c r="I614">
        <v>95.9</v>
      </c>
    </row>
    <row r="615" spans="1:9" x14ac:dyDescent="0.35">
      <c r="A615" t="s">
        <v>43</v>
      </c>
      <c r="B615" t="s">
        <v>44</v>
      </c>
      <c r="C615" s="2">
        <v>46045</v>
      </c>
      <c r="D615">
        <v>260.7</v>
      </c>
      <c r="E615">
        <v>49.9</v>
      </c>
      <c r="F615">
        <v>3.2</v>
      </c>
      <c r="G615">
        <v>2</v>
      </c>
      <c r="H615">
        <v>56.8</v>
      </c>
      <c r="I615">
        <v>89.5</v>
      </c>
    </row>
    <row r="616" spans="1:9" x14ac:dyDescent="0.35">
      <c r="A616" t="s">
        <v>41</v>
      </c>
      <c r="B616" t="s">
        <v>42</v>
      </c>
      <c r="C616" s="2">
        <v>46071</v>
      </c>
      <c r="D616">
        <v>109</v>
      </c>
      <c r="E616">
        <v>36.9</v>
      </c>
      <c r="F616">
        <v>3.5</v>
      </c>
      <c r="G616">
        <v>6</v>
      </c>
      <c r="H616">
        <v>69.599999999999994</v>
      </c>
      <c r="I616">
        <v>91.5</v>
      </c>
    </row>
    <row r="617" spans="1:9" x14ac:dyDescent="0.35">
      <c r="A617" t="s">
        <v>9</v>
      </c>
      <c r="B617" t="s">
        <v>10</v>
      </c>
      <c r="C617" s="2">
        <v>46052</v>
      </c>
      <c r="D617">
        <v>356.6</v>
      </c>
      <c r="E617">
        <v>70</v>
      </c>
      <c r="F617">
        <v>4.2</v>
      </c>
      <c r="G617">
        <v>7</v>
      </c>
      <c r="H617">
        <v>32.4</v>
      </c>
      <c r="I617">
        <v>92.9</v>
      </c>
    </row>
    <row r="618" spans="1:9" x14ac:dyDescent="0.35">
      <c r="A618" t="s">
        <v>23</v>
      </c>
      <c r="B618" t="s">
        <v>24</v>
      </c>
      <c r="C618" s="2">
        <v>46092</v>
      </c>
      <c r="D618">
        <v>289</v>
      </c>
      <c r="E618">
        <v>78.5</v>
      </c>
      <c r="F618">
        <v>3.2</v>
      </c>
      <c r="G618">
        <v>3</v>
      </c>
      <c r="H618">
        <v>32.299999999999997</v>
      </c>
      <c r="I618">
        <v>96</v>
      </c>
    </row>
    <row r="619" spans="1:9" x14ac:dyDescent="0.35">
      <c r="A619" t="s">
        <v>39</v>
      </c>
      <c r="B619" t="s">
        <v>40</v>
      </c>
      <c r="C619" s="2">
        <v>46080</v>
      </c>
      <c r="D619">
        <v>358.6</v>
      </c>
      <c r="E619">
        <v>82.4</v>
      </c>
      <c r="F619">
        <v>0.6</v>
      </c>
      <c r="G619">
        <v>7</v>
      </c>
      <c r="H619">
        <v>43</v>
      </c>
      <c r="I619">
        <v>90.9</v>
      </c>
    </row>
    <row r="620" spans="1:9" x14ac:dyDescent="0.35">
      <c r="A620" t="s">
        <v>25</v>
      </c>
      <c r="B620" t="s">
        <v>26</v>
      </c>
      <c r="C620" s="2">
        <v>46066</v>
      </c>
      <c r="D620">
        <v>110.5</v>
      </c>
      <c r="E620">
        <v>25.4</v>
      </c>
      <c r="F620">
        <v>0.4</v>
      </c>
      <c r="G620">
        <v>7</v>
      </c>
      <c r="H620">
        <v>41.8</v>
      </c>
      <c r="I620">
        <v>91</v>
      </c>
    </row>
    <row r="621" spans="1:9" x14ac:dyDescent="0.35">
      <c r="A621" t="s">
        <v>15</v>
      </c>
      <c r="B621" t="s">
        <v>16</v>
      </c>
      <c r="C621" s="2">
        <v>46112</v>
      </c>
      <c r="D621">
        <v>128.19999999999999</v>
      </c>
      <c r="E621">
        <v>40.5</v>
      </c>
      <c r="F621">
        <v>2.6</v>
      </c>
      <c r="G621">
        <v>8</v>
      </c>
      <c r="H621">
        <v>47.8</v>
      </c>
      <c r="I621">
        <v>93.6</v>
      </c>
    </row>
    <row r="622" spans="1:9" x14ac:dyDescent="0.35">
      <c r="A622" t="s">
        <v>13</v>
      </c>
      <c r="B622" t="s">
        <v>14</v>
      </c>
      <c r="C622" s="2">
        <v>46101</v>
      </c>
      <c r="D622">
        <v>448.9</v>
      </c>
      <c r="E622">
        <v>106.5</v>
      </c>
      <c r="F622">
        <v>1.2</v>
      </c>
      <c r="G622">
        <v>5</v>
      </c>
      <c r="H622">
        <v>65</v>
      </c>
      <c r="I622">
        <v>89.9</v>
      </c>
    </row>
    <row r="623" spans="1:9" x14ac:dyDescent="0.35">
      <c r="A623" t="s">
        <v>41</v>
      </c>
      <c r="B623" t="s">
        <v>42</v>
      </c>
      <c r="C623" s="2">
        <v>46034</v>
      </c>
      <c r="D623">
        <v>121.6</v>
      </c>
      <c r="E623">
        <v>31</v>
      </c>
      <c r="F623">
        <v>1.8</v>
      </c>
      <c r="G623">
        <v>4</v>
      </c>
      <c r="H623">
        <v>44.4</v>
      </c>
      <c r="I623">
        <v>93.9</v>
      </c>
    </row>
    <row r="624" spans="1:9" x14ac:dyDescent="0.35">
      <c r="A624" t="s">
        <v>27</v>
      </c>
      <c r="B624" t="s">
        <v>28</v>
      </c>
      <c r="C624" s="2">
        <v>46062</v>
      </c>
      <c r="D624">
        <v>142.6</v>
      </c>
      <c r="E624">
        <v>38.1</v>
      </c>
      <c r="F624">
        <v>3.7</v>
      </c>
      <c r="G624">
        <v>8</v>
      </c>
      <c r="H624">
        <v>58</v>
      </c>
      <c r="I624">
        <v>91.6</v>
      </c>
    </row>
    <row r="625" spans="1:9" x14ac:dyDescent="0.35">
      <c r="A625" t="s">
        <v>19</v>
      </c>
      <c r="B625" t="s">
        <v>20</v>
      </c>
      <c r="C625" s="2">
        <v>46048</v>
      </c>
      <c r="D625">
        <v>333.6</v>
      </c>
      <c r="E625">
        <v>103.6</v>
      </c>
      <c r="F625">
        <v>3.3</v>
      </c>
      <c r="G625">
        <v>2</v>
      </c>
      <c r="H625">
        <v>35.1</v>
      </c>
      <c r="I625">
        <v>85.8</v>
      </c>
    </row>
    <row r="626" spans="1:9" x14ac:dyDescent="0.35">
      <c r="A626" t="s">
        <v>45</v>
      </c>
      <c r="B626" t="s">
        <v>46</v>
      </c>
      <c r="C626" s="2">
        <v>46041</v>
      </c>
      <c r="D626">
        <v>401.4</v>
      </c>
      <c r="E626">
        <v>80.099999999999994</v>
      </c>
      <c r="F626">
        <v>0.3</v>
      </c>
      <c r="G626">
        <v>2</v>
      </c>
      <c r="H626">
        <v>43.7</v>
      </c>
      <c r="I626">
        <v>92.1</v>
      </c>
    </row>
    <row r="627" spans="1:9" x14ac:dyDescent="0.35">
      <c r="A627" t="s">
        <v>23</v>
      </c>
      <c r="B627" t="s">
        <v>24</v>
      </c>
      <c r="C627" s="2">
        <v>46049</v>
      </c>
      <c r="D627">
        <v>353.8</v>
      </c>
      <c r="E627">
        <v>104.9</v>
      </c>
      <c r="F627">
        <v>2.5</v>
      </c>
      <c r="G627">
        <v>5</v>
      </c>
      <c r="H627">
        <v>54.7</v>
      </c>
      <c r="I627">
        <v>94.3</v>
      </c>
    </row>
    <row r="628" spans="1:9" x14ac:dyDescent="0.35">
      <c r="A628" t="s">
        <v>25</v>
      </c>
      <c r="B628" t="s">
        <v>26</v>
      </c>
      <c r="C628" s="2">
        <v>46111</v>
      </c>
      <c r="D628">
        <v>338.5</v>
      </c>
      <c r="E628">
        <v>118.8</v>
      </c>
      <c r="F628">
        <v>2.7</v>
      </c>
      <c r="G628">
        <v>1</v>
      </c>
      <c r="H628">
        <v>41.5</v>
      </c>
      <c r="I628">
        <v>85.9</v>
      </c>
    </row>
    <row r="629" spans="1:9" x14ac:dyDescent="0.35">
      <c r="A629" t="s">
        <v>33</v>
      </c>
      <c r="B629" t="s">
        <v>34</v>
      </c>
      <c r="C629" s="2">
        <v>46112</v>
      </c>
      <c r="D629">
        <v>308.60000000000002</v>
      </c>
      <c r="E629">
        <v>104.8</v>
      </c>
      <c r="F629">
        <v>3</v>
      </c>
      <c r="G629">
        <v>1</v>
      </c>
      <c r="H629">
        <v>33</v>
      </c>
      <c r="I629">
        <v>94.9</v>
      </c>
    </row>
    <row r="630" spans="1:9" x14ac:dyDescent="0.35">
      <c r="A630" t="s">
        <v>17</v>
      </c>
      <c r="B630" t="s">
        <v>18</v>
      </c>
      <c r="C630" s="2">
        <v>46036</v>
      </c>
      <c r="D630">
        <v>87.1</v>
      </c>
      <c r="E630">
        <v>16.899999999999999</v>
      </c>
      <c r="F630">
        <v>3</v>
      </c>
      <c r="G630">
        <v>4</v>
      </c>
      <c r="H630">
        <v>74.099999999999994</v>
      </c>
      <c r="I630">
        <v>92.6</v>
      </c>
    </row>
    <row r="631" spans="1:9" x14ac:dyDescent="0.35">
      <c r="A631" t="s">
        <v>9</v>
      </c>
      <c r="B631" t="s">
        <v>10</v>
      </c>
      <c r="C631" s="2">
        <v>46063</v>
      </c>
      <c r="D631">
        <v>259.3</v>
      </c>
      <c r="E631">
        <v>58.8</v>
      </c>
      <c r="F631">
        <v>0.6</v>
      </c>
      <c r="G631">
        <v>4</v>
      </c>
      <c r="H631">
        <v>52.5</v>
      </c>
      <c r="I631">
        <v>91.9</v>
      </c>
    </row>
    <row r="632" spans="1:9" x14ac:dyDescent="0.35">
      <c r="A632" t="s">
        <v>27</v>
      </c>
      <c r="B632" t="s">
        <v>28</v>
      </c>
      <c r="C632" s="2">
        <v>46028</v>
      </c>
      <c r="D632">
        <v>171.5</v>
      </c>
      <c r="E632">
        <v>40.5</v>
      </c>
      <c r="F632">
        <v>1.6</v>
      </c>
      <c r="G632">
        <v>7</v>
      </c>
      <c r="H632">
        <v>63.5</v>
      </c>
      <c r="I632">
        <v>85.3</v>
      </c>
    </row>
    <row r="633" spans="1:9" x14ac:dyDescent="0.35">
      <c r="A633" t="s">
        <v>17</v>
      </c>
      <c r="B633" t="s">
        <v>18</v>
      </c>
      <c r="C633" s="2">
        <v>46068</v>
      </c>
      <c r="D633">
        <v>311.3</v>
      </c>
      <c r="E633">
        <v>90.6</v>
      </c>
      <c r="F633">
        <v>4.4000000000000004</v>
      </c>
      <c r="G633">
        <v>5</v>
      </c>
      <c r="H633">
        <v>66.5</v>
      </c>
      <c r="I633">
        <v>94.4</v>
      </c>
    </row>
    <row r="634" spans="1:9" x14ac:dyDescent="0.35">
      <c r="A634" t="s">
        <v>39</v>
      </c>
      <c r="B634" t="s">
        <v>40</v>
      </c>
      <c r="C634" s="2">
        <v>46026</v>
      </c>
      <c r="D634">
        <v>429.3</v>
      </c>
      <c r="E634">
        <v>80.099999999999994</v>
      </c>
      <c r="F634">
        <v>1.2</v>
      </c>
      <c r="G634">
        <v>6</v>
      </c>
      <c r="H634">
        <v>70.400000000000006</v>
      </c>
      <c r="I634">
        <v>94.9</v>
      </c>
    </row>
    <row r="635" spans="1:9" x14ac:dyDescent="0.35">
      <c r="A635" t="s">
        <v>11</v>
      </c>
      <c r="B635" t="s">
        <v>12</v>
      </c>
      <c r="C635" s="2">
        <v>46071</v>
      </c>
      <c r="D635">
        <v>272.7</v>
      </c>
      <c r="E635">
        <v>58.9</v>
      </c>
      <c r="F635">
        <v>4</v>
      </c>
      <c r="G635">
        <v>4</v>
      </c>
      <c r="H635">
        <v>48.8</v>
      </c>
      <c r="I635">
        <v>93.6</v>
      </c>
    </row>
    <row r="636" spans="1:9" x14ac:dyDescent="0.35">
      <c r="A636" t="s">
        <v>15</v>
      </c>
      <c r="B636" t="s">
        <v>16</v>
      </c>
      <c r="C636" s="2">
        <v>46062</v>
      </c>
      <c r="D636">
        <v>416.6</v>
      </c>
      <c r="E636">
        <v>112.9</v>
      </c>
      <c r="F636">
        <v>2.5</v>
      </c>
      <c r="G636">
        <v>4</v>
      </c>
      <c r="H636">
        <v>59.4</v>
      </c>
      <c r="I636">
        <v>93.7</v>
      </c>
    </row>
    <row r="637" spans="1:9" x14ac:dyDescent="0.35">
      <c r="A637" t="s">
        <v>33</v>
      </c>
      <c r="B637" t="s">
        <v>34</v>
      </c>
      <c r="C637" s="2">
        <v>46040</v>
      </c>
      <c r="D637">
        <v>194.3</v>
      </c>
      <c r="E637">
        <v>41.3</v>
      </c>
      <c r="F637">
        <v>2.5</v>
      </c>
      <c r="G637">
        <v>3</v>
      </c>
      <c r="H637">
        <v>49.4</v>
      </c>
      <c r="I637">
        <v>98.6</v>
      </c>
    </row>
    <row r="638" spans="1:9" x14ac:dyDescent="0.35">
      <c r="A638" t="s">
        <v>25</v>
      </c>
      <c r="B638" t="s">
        <v>26</v>
      </c>
      <c r="C638" s="2">
        <v>46106</v>
      </c>
      <c r="D638">
        <v>425.2</v>
      </c>
      <c r="E638">
        <v>80.599999999999994</v>
      </c>
      <c r="F638">
        <v>1.6</v>
      </c>
      <c r="G638">
        <v>2</v>
      </c>
      <c r="H638">
        <v>38.299999999999997</v>
      </c>
      <c r="I638">
        <v>97.6</v>
      </c>
    </row>
    <row r="639" spans="1:9" x14ac:dyDescent="0.35">
      <c r="A639" t="s">
        <v>25</v>
      </c>
      <c r="B639" t="s">
        <v>26</v>
      </c>
      <c r="C639" s="2">
        <v>46026</v>
      </c>
      <c r="D639">
        <v>363.2</v>
      </c>
      <c r="E639">
        <v>70.2</v>
      </c>
      <c r="F639">
        <v>2</v>
      </c>
      <c r="G639">
        <v>7</v>
      </c>
      <c r="H639">
        <v>43.7</v>
      </c>
      <c r="I639">
        <v>96.2</v>
      </c>
    </row>
    <row r="640" spans="1:9" x14ac:dyDescent="0.35">
      <c r="A640" t="s">
        <v>47</v>
      </c>
      <c r="B640" t="s">
        <v>48</v>
      </c>
      <c r="C640" s="2">
        <v>46042</v>
      </c>
      <c r="D640">
        <v>368.3</v>
      </c>
      <c r="E640">
        <v>119.3</v>
      </c>
      <c r="F640">
        <v>1</v>
      </c>
      <c r="G640">
        <v>5</v>
      </c>
      <c r="H640">
        <v>57.3</v>
      </c>
      <c r="I640">
        <v>94.2</v>
      </c>
    </row>
    <row r="641" spans="1:9" x14ac:dyDescent="0.35">
      <c r="A641" t="s">
        <v>45</v>
      </c>
      <c r="B641" t="s">
        <v>46</v>
      </c>
      <c r="C641" s="2">
        <v>46052</v>
      </c>
      <c r="D641">
        <v>165.4</v>
      </c>
      <c r="E641">
        <v>57.6</v>
      </c>
      <c r="F641">
        <v>0.5</v>
      </c>
      <c r="G641">
        <v>8</v>
      </c>
      <c r="H641">
        <v>36</v>
      </c>
      <c r="I641">
        <v>97.7</v>
      </c>
    </row>
    <row r="642" spans="1:9" x14ac:dyDescent="0.35">
      <c r="A642" t="s">
        <v>43</v>
      </c>
      <c r="B642" t="s">
        <v>44</v>
      </c>
      <c r="C642" s="2">
        <v>46106</v>
      </c>
      <c r="D642">
        <v>218.4</v>
      </c>
      <c r="E642">
        <v>42.8</v>
      </c>
      <c r="F642">
        <v>2.2999999999999998</v>
      </c>
      <c r="G642">
        <v>3</v>
      </c>
      <c r="H642">
        <v>37.4</v>
      </c>
      <c r="I642">
        <v>88.4</v>
      </c>
    </row>
    <row r="643" spans="1:9" x14ac:dyDescent="0.35">
      <c r="A643" t="s">
        <v>15</v>
      </c>
      <c r="B643" t="s">
        <v>16</v>
      </c>
      <c r="C643" s="2">
        <v>46024</v>
      </c>
      <c r="D643">
        <v>422.4</v>
      </c>
      <c r="E643">
        <v>78.7</v>
      </c>
      <c r="F643">
        <v>1.2</v>
      </c>
      <c r="G643">
        <v>4</v>
      </c>
      <c r="H643">
        <v>64.099999999999994</v>
      </c>
      <c r="I643">
        <v>86</v>
      </c>
    </row>
    <row r="644" spans="1:9" x14ac:dyDescent="0.35">
      <c r="A644" t="s">
        <v>35</v>
      </c>
      <c r="B644" t="s">
        <v>36</v>
      </c>
      <c r="C644" s="2">
        <v>46101</v>
      </c>
      <c r="D644">
        <v>261.3</v>
      </c>
      <c r="E644">
        <v>71.099999999999994</v>
      </c>
      <c r="F644">
        <v>2.2000000000000002</v>
      </c>
      <c r="G644">
        <v>4</v>
      </c>
      <c r="H644">
        <v>49.2</v>
      </c>
      <c r="I644">
        <v>96.6</v>
      </c>
    </row>
    <row r="645" spans="1:9" x14ac:dyDescent="0.35">
      <c r="A645" t="s">
        <v>45</v>
      </c>
      <c r="B645" t="s">
        <v>46</v>
      </c>
      <c r="C645" s="2">
        <v>46071</v>
      </c>
      <c r="D645">
        <v>346.5</v>
      </c>
      <c r="E645">
        <v>89.7</v>
      </c>
      <c r="F645">
        <v>4.2</v>
      </c>
      <c r="G645">
        <v>1</v>
      </c>
      <c r="H645">
        <v>53.4</v>
      </c>
      <c r="I645">
        <v>91.8</v>
      </c>
    </row>
    <row r="646" spans="1:9" x14ac:dyDescent="0.35">
      <c r="A646" t="s">
        <v>21</v>
      </c>
      <c r="B646" t="s">
        <v>22</v>
      </c>
      <c r="C646" s="2">
        <v>46054</v>
      </c>
      <c r="D646">
        <v>271.89999999999998</v>
      </c>
      <c r="E646">
        <v>70.3</v>
      </c>
      <c r="F646">
        <v>3.4</v>
      </c>
      <c r="G646">
        <v>7</v>
      </c>
      <c r="H646">
        <v>53.2</v>
      </c>
      <c r="I646">
        <v>94.5</v>
      </c>
    </row>
    <row r="647" spans="1:9" x14ac:dyDescent="0.35">
      <c r="A647" t="s">
        <v>21</v>
      </c>
      <c r="B647" t="s">
        <v>22</v>
      </c>
      <c r="C647" s="2">
        <v>46047</v>
      </c>
      <c r="D647">
        <v>187.7</v>
      </c>
      <c r="E647">
        <v>48.4</v>
      </c>
      <c r="F647">
        <v>1.5</v>
      </c>
      <c r="G647">
        <v>5</v>
      </c>
      <c r="H647">
        <v>50.8</v>
      </c>
      <c r="I647">
        <v>91.3</v>
      </c>
    </row>
    <row r="648" spans="1:9" x14ac:dyDescent="0.35">
      <c r="A648" t="s">
        <v>45</v>
      </c>
      <c r="B648" t="s">
        <v>46</v>
      </c>
      <c r="C648" s="2">
        <v>46029</v>
      </c>
      <c r="D648">
        <v>335.3</v>
      </c>
      <c r="E648">
        <v>64</v>
      </c>
      <c r="F648">
        <v>2.2000000000000002</v>
      </c>
      <c r="G648">
        <v>8</v>
      </c>
      <c r="H648">
        <v>34.1</v>
      </c>
      <c r="I648">
        <v>92.5</v>
      </c>
    </row>
    <row r="649" spans="1:9" x14ac:dyDescent="0.35">
      <c r="A649" t="s">
        <v>37</v>
      </c>
      <c r="B649" t="s">
        <v>38</v>
      </c>
      <c r="C649" s="2">
        <v>46097</v>
      </c>
      <c r="D649">
        <v>427</v>
      </c>
      <c r="E649">
        <v>91.2</v>
      </c>
      <c r="F649">
        <v>0.8</v>
      </c>
      <c r="G649">
        <v>7</v>
      </c>
      <c r="H649">
        <v>44.6</v>
      </c>
      <c r="I649">
        <v>85.4</v>
      </c>
    </row>
    <row r="650" spans="1:9" x14ac:dyDescent="0.35">
      <c r="A650" t="s">
        <v>35</v>
      </c>
      <c r="B650" t="s">
        <v>36</v>
      </c>
      <c r="C650" s="2">
        <v>46098</v>
      </c>
      <c r="D650">
        <v>411.7</v>
      </c>
      <c r="E650">
        <v>78.900000000000006</v>
      </c>
      <c r="F650">
        <v>4</v>
      </c>
      <c r="G650">
        <v>2</v>
      </c>
      <c r="H650">
        <v>41.3</v>
      </c>
      <c r="I650">
        <v>95.4</v>
      </c>
    </row>
    <row r="651" spans="1:9" x14ac:dyDescent="0.35">
      <c r="A651" t="s">
        <v>37</v>
      </c>
      <c r="B651" t="s">
        <v>38</v>
      </c>
      <c r="C651" s="2">
        <v>46038</v>
      </c>
      <c r="D651">
        <v>113.7</v>
      </c>
      <c r="E651">
        <v>24.2</v>
      </c>
      <c r="F651">
        <v>2.9</v>
      </c>
      <c r="G651">
        <v>2</v>
      </c>
      <c r="H651">
        <v>53.6</v>
      </c>
      <c r="I651">
        <v>90.8</v>
      </c>
    </row>
    <row r="652" spans="1:9" x14ac:dyDescent="0.35">
      <c r="A652" t="s">
        <v>31</v>
      </c>
      <c r="B652" t="s">
        <v>32</v>
      </c>
      <c r="C652" s="2">
        <v>46101</v>
      </c>
      <c r="D652">
        <v>431.4</v>
      </c>
      <c r="E652">
        <v>112.9</v>
      </c>
      <c r="F652">
        <v>1.8</v>
      </c>
      <c r="G652">
        <v>3</v>
      </c>
      <c r="H652">
        <v>71.099999999999994</v>
      </c>
      <c r="I652">
        <v>93.5</v>
      </c>
    </row>
    <row r="653" spans="1:9" x14ac:dyDescent="0.35">
      <c r="A653" t="s">
        <v>25</v>
      </c>
      <c r="B653" t="s">
        <v>26</v>
      </c>
      <c r="C653" s="2">
        <v>46043</v>
      </c>
      <c r="D653">
        <v>401.5</v>
      </c>
      <c r="E653">
        <v>122.3</v>
      </c>
      <c r="F653">
        <v>3.3</v>
      </c>
      <c r="G653">
        <v>7</v>
      </c>
      <c r="H653">
        <v>43.9</v>
      </c>
      <c r="I653">
        <v>96</v>
      </c>
    </row>
    <row r="654" spans="1:9" x14ac:dyDescent="0.35">
      <c r="A654" t="s">
        <v>35</v>
      </c>
      <c r="B654" t="s">
        <v>36</v>
      </c>
      <c r="C654" s="2">
        <v>46059</v>
      </c>
      <c r="D654">
        <v>311.8</v>
      </c>
      <c r="E654">
        <v>100</v>
      </c>
      <c r="F654">
        <v>0.8</v>
      </c>
      <c r="G654">
        <v>4</v>
      </c>
      <c r="H654">
        <v>30.2</v>
      </c>
      <c r="I654">
        <v>96.5</v>
      </c>
    </row>
    <row r="655" spans="1:9" x14ac:dyDescent="0.35">
      <c r="A655" t="s">
        <v>27</v>
      </c>
      <c r="B655" t="s">
        <v>28</v>
      </c>
      <c r="C655" s="2">
        <v>46081</v>
      </c>
      <c r="D655">
        <v>264.10000000000002</v>
      </c>
      <c r="E655">
        <v>63.7</v>
      </c>
      <c r="F655">
        <v>3.7</v>
      </c>
      <c r="G655">
        <v>8</v>
      </c>
      <c r="H655">
        <v>40.700000000000003</v>
      </c>
      <c r="I655">
        <v>93.8</v>
      </c>
    </row>
    <row r="656" spans="1:9" x14ac:dyDescent="0.35">
      <c r="A656" t="s">
        <v>43</v>
      </c>
      <c r="B656" t="s">
        <v>44</v>
      </c>
      <c r="C656" s="2">
        <v>46081</v>
      </c>
      <c r="D656">
        <v>231.8</v>
      </c>
      <c r="E656">
        <v>76.900000000000006</v>
      </c>
      <c r="F656">
        <v>2.8</v>
      </c>
      <c r="G656">
        <v>4</v>
      </c>
      <c r="H656">
        <v>69.7</v>
      </c>
      <c r="I656">
        <v>89.2</v>
      </c>
    </row>
    <row r="657" spans="1:9" x14ac:dyDescent="0.35">
      <c r="A657" t="s">
        <v>13</v>
      </c>
      <c r="B657" t="s">
        <v>14</v>
      </c>
      <c r="C657" s="2">
        <v>46049</v>
      </c>
      <c r="D657">
        <v>98.1</v>
      </c>
      <c r="E657">
        <v>30.7</v>
      </c>
      <c r="F657">
        <v>3</v>
      </c>
      <c r="G657">
        <v>1</v>
      </c>
      <c r="H657">
        <v>36.5</v>
      </c>
      <c r="I657">
        <v>85.5</v>
      </c>
    </row>
    <row r="658" spans="1:9" x14ac:dyDescent="0.35">
      <c r="A658" t="s">
        <v>41</v>
      </c>
      <c r="B658" t="s">
        <v>42</v>
      </c>
      <c r="C658" s="2">
        <v>46100</v>
      </c>
      <c r="D658">
        <v>190.4</v>
      </c>
      <c r="E658">
        <v>36</v>
      </c>
      <c r="F658">
        <v>0.4</v>
      </c>
      <c r="G658">
        <v>7</v>
      </c>
      <c r="H658">
        <v>74.7</v>
      </c>
      <c r="I658">
        <v>87.4</v>
      </c>
    </row>
    <row r="659" spans="1:9" x14ac:dyDescent="0.35">
      <c r="A659" t="s">
        <v>29</v>
      </c>
      <c r="B659" t="s">
        <v>30</v>
      </c>
      <c r="C659" s="2">
        <v>46101</v>
      </c>
      <c r="D659">
        <v>324.5</v>
      </c>
      <c r="E659">
        <v>69.2</v>
      </c>
      <c r="F659">
        <v>2.7</v>
      </c>
      <c r="G659">
        <v>3</v>
      </c>
      <c r="H659">
        <v>73.5</v>
      </c>
      <c r="I659">
        <v>96.2</v>
      </c>
    </row>
    <row r="660" spans="1:9" x14ac:dyDescent="0.35">
      <c r="A660" t="s">
        <v>17</v>
      </c>
      <c r="B660" t="s">
        <v>18</v>
      </c>
      <c r="C660" s="2">
        <v>46027</v>
      </c>
      <c r="D660">
        <v>114.5</v>
      </c>
      <c r="E660">
        <v>31.7</v>
      </c>
      <c r="F660">
        <v>1.8</v>
      </c>
      <c r="G660">
        <v>7</v>
      </c>
      <c r="H660">
        <v>66.900000000000006</v>
      </c>
      <c r="I660">
        <v>96.4</v>
      </c>
    </row>
    <row r="661" spans="1:9" x14ac:dyDescent="0.35">
      <c r="A661" t="s">
        <v>13</v>
      </c>
      <c r="B661" t="s">
        <v>14</v>
      </c>
      <c r="C661" s="2">
        <v>46031</v>
      </c>
      <c r="D661">
        <v>188.3</v>
      </c>
      <c r="E661">
        <v>59.5</v>
      </c>
      <c r="F661">
        <v>3.2</v>
      </c>
      <c r="G661">
        <v>5</v>
      </c>
      <c r="H661">
        <v>44.8</v>
      </c>
      <c r="I661">
        <v>91.2</v>
      </c>
    </row>
    <row r="662" spans="1:9" x14ac:dyDescent="0.35">
      <c r="A662" t="s">
        <v>33</v>
      </c>
      <c r="B662" t="s">
        <v>34</v>
      </c>
      <c r="C662" s="2">
        <v>46112</v>
      </c>
      <c r="D662">
        <v>157.30000000000001</v>
      </c>
      <c r="E662">
        <v>53.2</v>
      </c>
      <c r="F662">
        <v>2.7</v>
      </c>
      <c r="G662">
        <v>2</v>
      </c>
      <c r="H662">
        <v>51.8</v>
      </c>
      <c r="I662">
        <v>95.3</v>
      </c>
    </row>
    <row r="663" spans="1:9" x14ac:dyDescent="0.35">
      <c r="A663" t="s">
        <v>29</v>
      </c>
      <c r="B663" t="s">
        <v>30</v>
      </c>
      <c r="C663" s="2">
        <v>46077</v>
      </c>
      <c r="D663">
        <v>305.3</v>
      </c>
      <c r="E663">
        <v>83.5</v>
      </c>
      <c r="F663">
        <v>2.5</v>
      </c>
      <c r="G663">
        <v>6</v>
      </c>
      <c r="H663">
        <v>71.7</v>
      </c>
      <c r="I663">
        <v>94.2</v>
      </c>
    </row>
    <row r="664" spans="1:9" x14ac:dyDescent="0.35">
      <c r="A664" t="s">
        <v>43</v>
      </c>
      <c r="B664" t="s">
        <v>44</v>
      </c>
      <c r="C664" s="2">
        <v>46089</v>
      </c>
      <c r="D664">
        <v>349.8</v>
      </c>
      <c r="E664">
        <v>84.4</v>
      </c>
      <c r="F664">
        <v>3.7</v>
      </c>
      <c r="G664">
        <v>4</v>
      </c>
      <c r="H664">
        <v>61.9</v>
      </c>
      <c r="I664">
        <v>99.7</v>
      </c>
    </row>
    <row r="665" spans="1:9" x14ac:dyDescent="0.35">
      <c r="A665" t="s">
        <v>27</v>
      </c>
      <c r="B665" t="s">
        <v>28</v>
      </c>
      <c r="C665" s="2">
        <v>46038</v>
      </c>
      <c r="D665">
        <v>88.9</v>
      </c>
      <c r="E665">
        <v>19.8</v>
      </c>
      <c r="F665">
        <v>0.7</v>
      </c>
      <c r="G665">
        <v>4</v>
      </c>
      <c r="H665">
        <v>66</v>
      </c>
      <c r="I665">
        <v>100</v>
      </c>
    </row>
    <row r="666" spans="1:9" x14ac:dyDescent="0.35">
      <c r="A666" t="s">
        <v>15</v>
      </c>
      <c r="B666" t="s">
        <v>16</v>
      </c>
      <c r="C666" s="2">
        <v>46028</v>
      </c>
      <c r="D666">
        <v>203.5</v>
      </c>
      <c r="E666">
        <v>47.2</v>
      </c>
      <c r="F666">
        <v>2.9</v>
      </c>
      <c r="G666">
        <v>1</v>
      </c>
      <c r="H666">
        <v>58.8</v>
      </c>
      <c r="I666">
        <v>95.4</v>
      </c>
    </row>
    <row r="667" spans="1:9" x14ac:dyDescent="0.35">
      <c r="A667" t="s">
        <v>47</v>
      </c>
      <c r="B667" t="s">
        <v>48</v>
      </c>
      <c r="C667" s="2">
        <v>46031</v>
      </c>
      <c r="D667">
        <v>193.9</v>
      </c>
      <c r="E667">
        <v>46.5</v>
      </c>
      <c r="F667">
        <v>1.6</v>
      </c>
      <c r="G667">
        <v>1</v>
      </c>
      <c r="H667">
        <v>35.1</v>
      </c>
      <c r="I667">
        <v>90</v>
      </c>
    </row>
    <row r="668" spans="1:9" x14ac:dyDescent="0.35">
      <c r="A668" t="s">
        <v>39</v>
      </c>
      <c r="B668" t="s">
        <v>40</v>
      </c>
      <c r="C668" s="2">
        <v>46095</v>
      </c>
      <c r="D668">
        <v>307.89999999999998</v>
      </c>
      <c r="E668">
        <v>107</v>
      </c>
      <c r="F668">
        <v>1</v>
      </c>
      <c r="G668">
        <v>6</v>
      </c>
      <c r="H668">
        <v>67.5</v>
      </c>
      <c r="I668">
        <v>98.8</v>
      </c>
    </row>
    <row r="669" spans="1:9" x14ac:dyDescent="0.35">
      <c r="A669" t="s">
        <v>43</v>
      </c>
      <c r="B669" t="s">
        <v>44</v>
      </c>
      <c r="C669" s="2">
        <v>46083</v>
      </c>
      <c r="D669">
        <v>375</v>
      </c>
      <c r="E669">
        <v>82.5</v>
      </c>
      <c r="F669">
        <v>2.2999999999999998</v>
      </c>
      <c r="G669">
        <v>8</v>
      </c>
      <c r="H669">
        <v>70.099999999999994</v>
      </c>
      <c r="I669">
        <v>93.1</v>
      </c>
    </row>
    <row r="670" spans="1:9" x14ac:dyDescent="0.35">
      <c r="A670" t="s">
        <v>23</v>
      </c>
      <c r="B670" t="s">
        <v>24</v>
      </c>
      <c r="C670" s="2">
        <v>46082</v>
      </c>
      <c r="D670">
        <v>370.1</v>
      </c>
      <c r="E670">
        <v>94.5</v>
      </c>
      <c r="F670">
        <v>3.4</v>
      </c>
      <c r="G670">
        <v>5</v>
      </c>
      <c r="H670">
        <v>55.4</v>
      </c>
      <c r="I670">
        <v>95.2</v>
      </c>
    </row>
    <row r="671" spans="1:9" x14ac:dyDescent="0.35">
      <c r="A671" t="s">
        <v>13</v>
      </c>
      <c r="B671" t="s">
        <v>14</v>
      </c>
      <c r="C671" s="2">
        <v>46091</v>
      </c>
      <c r="D671">
        <v>86.9</v>
      </c>
      <c r="E671">
        <v>19.899999999999999</v>
      </c>
      <c r="F671">
        <v>1.6</v>
      </c>
      <c r="G671">
        <v>6</v>
      </c>
      <c r="H671">
        <v>33</v>
      </c>
      <c r="I671">
        <v>87.2</v>
      </c>
    </row>
    <row r="672" spans="1:9" x14ac:dyDescent="0.35">
      <c r="A672" t="s">
        <v>27</v>
      </c>
      <c r="B672" t="s">
        <v>28</v>
      </c>
      <c r="C672" s="2">
        <v>46066</v>
      </c>
      <c r="D672">
        <v>443.9</v>
      </c>
      <c r="E672">
        <v>98.8</v>
      </c>
      <c r="F672">
        <v>3.8</v>
      </c>
      <c r="G672">
        <v>7</v>
      </c>
      <c r="H672">
        <v>38.4</v>
      </c>
      <c r="I672">
        <v>86.8</v>
      </c>
    </row>
    <row r="673" spans="1:9" x14ac:dyDescent="0.35">
      <c r="A673" t="s">
        <v>29</v>
      </c>
      <c r="B673" t="s">
        <v>30</v>
      </c>
      <c r="C673" s="2">
        <v>46063</v>
      </c>
      <c r="D673">
        <v>342.6</v>
      </c>
      <c r="E673">
        <v>97</v>
      </c>
      <c r="F673">
        <v>0.6</v>
      </c>
      <c r="G673">
        <v>4</v>
      </c>
      <c r="H673">
        <v>46.7</v>
      </c>
      <c r="I673">
        <v>97.4</v>
      </c>
    </row>
    <row r="674" spans="1:9" x14ac:dyDescent="0.35">
      <c r="A674" t="s">
        <v>29</v>
      </c>
      <c r="B674" t="s">
        <v>30</v>
      </c>
      <c r="C674" s="2">
        <v>46050</v>
      </c>
      <c r="D674">
        <v>274.3</v>
      </c>
      <c r="E674">
        <v>83.8</v>
      </c>
      <c r="F674">
        <v>1.8</v>
      </c>
      <c r="G674">
        <v>1</v>
      </c>
      <c r="H674">
        <v>65</v>
      </c>
      <c r="I674">
        <v>98.7</v>
      </c>
    </row>
    <row r="675" spans="1:9" x14ac:dyDescent="0.35">
      <c r="A675" t="s">
        <v>35</v>
      </c>
      <c r="B675" t="s">
        <v>36</v>
      </c>
      <c r="C675" s="2">
        <v>46087</v>
      </c>
      <c r="D675">
        <v>89.2</v>
      </c>
      <c r="E675">
        <v>21.7</v>
      </c>
      <c r="F675">
        <v>2.4</v>
      </c>
      <c r="G675">
        <v>4</v>
      </c>
      <c r="H675">
        <v>45.3</v>
      </c>
      <c r="I675">
        <v>92.3</v>
      </c>
    </row>
    <row r="676" spans="1:9" x14ac:dyDescent="0.35">
      <c r="A676" t="s">
        <v>31</v>
      </c>
      <c r="B676" t="s">
        <v>32</v>
      </c>
      <c r="C676" s="2">
        <v>46062</v>
      </c>
      <c r="D676">
        <v>366.9</v>
      </c>
      <c r="E676">
        <v>115.1</v>
      </c>
      <c r="F676">
        <v>3.9</v>
      </c>
      <c r="G676">
        <v>3</v>
      </c>
      <c r="H676">
        <v>39.200000000000003</v>
      </c>
      <c r="I676">
        <v>85.5</v>
      </c>
    </row>
    <row r="677" spans="1:9" x14ac:dyDescent="0.35">
      <c r="A677" t="s">
        <v>39</v>
      </c>
      <c r="B677" t="s">
        <v>40</v>
      </c>
      <c r="C677" s="2">
        <v>46089</v>
      </c>
      <c r="D677">
        <v>122.9</v>
      </c>
      <c r="E677">
        <v>33.799999999999997</v>
      </c>
      <c r="F677">
        <v>0.4</v>
      </c>
      <c r="G677">
        <v>2</v>
      </c>
      <c r="H677">
        <v>45</v>
      </c>
      <c r="I677">
        <v>98.3</v>
      </c>
    </row>
    <row r="678" spans="1:9" x14ac:dyDescent="0.35">
      <c r="A678" t="s">
        <v>9</v>
      </c>
      <c r="B678" t="s">
        <v>10</v>
      </c>
      <c r="C678" s="2">
        <v>46089</v>
      </c>
      <c r="D678">
        <v>363.5</v>
      </c>
      <c r="E678">
        <v>75.5</v>
      </c>
      <c r="F678">
        <v>0.3</v>
      </c>
      <c r="G678">
        <v>5</v>
      </c>
      <c r="H678">
        <v>58.7</v>
      </c>
      <c r="I678">
        <v>88.1</v>
      </c>
    </row>
    <row r="679" spans="1:9" x14ac:dyDescent="0.35">
      <c r="A679" t="s">
        <v>33</v>
      </c>
      <c r="B679" t="s">
        <v>34</v>
      </c>
      <c r="C679" s="2">
        <v>46047</v>
      </c>
      <c r="D679">
        <v>186</v>
      </c>
      <c r="E679">
        <v>43.9</v>
      </c>
      <c r="F679">
        <v>3.5</v>
      </c>
      <c r="G679">
        <v>2</v>
      </c>
      <c r="H679">
        <v>42.3</v>
      </c>
      <c r="I679">
        <v>87.4</v>
      </c>
    </row>
    <row r="680" spans="1:9" x14ac:dyDescent="0.35">
      <c r="A680" t="s">
        <v>9</v>
      </c>
      <c r="B680" t="s">
        <v>10</v>
      </c>
      <c r="C680" s="2">
        <v>46024</v>
      </c>
      <c r="D680">
        <v>434.6</v>
      </c>
      <c r="E680">
        <v>100.8</v>
      </c>
      <c r="F680">
        <v>0.6</v>
      </c>
      <c r="G680">
        <v>6</v>
      </c>
      <c r="H680">
        <v>54.7</v>
      </c>
      <c r="I680">
        <v>89.1</v>
      </c>
    </row>
    <row r="681" spans="1:9" x14ac:dyDescent="0.35">
      <c r="A681" t="s">
        <v>29</v>
      </c>
      <c r="B681" t="s">
        <v>30</v>
      </c>
      <c r="C681" s="2">
        <v>46096</v>
      </c>
      <c r="D681">
        <v>170.6</v>
      </c>
      <c r="E681">
        <v>57</v>
      </c>
      <c r="F681">
        <v>2.8</v>
      </c>
      <c r="G681">
        <v>6</v>
      </c>
      <c r="H681">
        <v>54.3</v>
      </c>
      <c r="I681">
        <v>85.8</v>
      </c>
    </row>
    <row r="682" spans="1:9" x14ac:dyDescent="0.35">
      <c r="A682" t="s">
        <v>27</v>
      </c>
      <c r="B682" t="s">
        <v>28</v>
      </c>
      <c r="C682" s="2">
        <v>46083</v>
      </c>
      <c r="D682">
        <v>414.2</v>
      </c>
      <c r="E682">
        <v>141.1</v>
      </c>
      <c r="F682">
        <v>1.8</v>
      </c>
      <c r="G682">
        <v>2</v>
      </c>
      <c r="H682">
        <v>49.2</v>
      </c>
      <c r="I682">
        <v>87.7</v>
      </c>
    </row>
    <row r="683" spans="1:9" x14ac:dyDescent="0.35">
      <c r="A683" t="s">
        <v>45</v>
      </c>
      <c r="B683" t="s">
        <v>46</v>
      </c>
      <c r="C683" s="2">
        <v>46098</v>
      </c>
      <c r="D683">
        <v>312.89999999999998</v>
      </c>
      <c r="E683">
        <v>67.099999999999994</v>
      </c>
      <c r="F683">
        <v>2.1</v>
      </c>
      <c r="G683">
        <v>6</v>
      </c>
      <c r="H683">
        <v>44.1</v>
      </c>
      <c r="I683">
        <v>97.3</v>
      </c>
    </row>
    <row r="684" spans="1:9" x14ac:dyDescent="0.35">
      <c r="A684" t="s">
        <v>13</v>
      </c>
      <c r="B684" t="s">
        <v>14</v>
      </c>
      <c r="C684" s="2">
        <v>46033</v>
      </c>
      <c r="D684">
        <v>440.3</v>
      </c>
      <c r="E684">
        <v>91</v>
      </c>
      <c r="F684">
        <v>2.2000000000000002</v>
      </c>
      <c r="G684">
        <v>3</v>
      </c>
      <c r="H684">
        <v>34.200000000000003</v>
      </c>
      <c r="I684">
        <v>97</v>
      </c>
    </row>
    <row r="685" spans="1:9" x14ac:dyDescent="0.35">
      <c r="A685" t="s">
        <v>35</v>
      </c>
      <c r="B685" t="s">
        <v>36</v>
      </c>
      <c r="C685" s="2">
        <v>46035</v>
      </c>
      <c r="D685">
        <v>248.6</v>
      </c>
      <c r="E685">
        <v>53.5</v>
      </c>
      <c r="F685">
        <v>3.3</v>
      </c>
      <c r="G685">
        <v>8</v>
      </c>
      <c r="H685">
        <v>51.2</v>
      </c>
      <c r="I685">
        <v>99.2</v>
      </c>
    </row>
    <row r="686" spans="1:9" x14ac:dyDescent="0.35">
      <c r="A686" t="s">
        <v>25</v>
      </c>
      <c r="B686" t="s">
        <v>26</v>
      </c>
      <c r="C686" s="2">
        <v>46101</v>
      </c>
      <c r="D686">
        <v>175.5</v>
      </c>
      <c r="E686">
        <v>46.4</v>
      </c>
      <c r="F686">
        <v>1</v>
      </c>
      <c r="G686">
        <v>6</v>
      </c>
      <c r="H686">
        <v>65.5</v>
      </c>
      <c r="I686">
        <v>98.2</v>
      </c>
    </row>
    <row r="687" spans="1:9" x14ac:dyDescent="0.35">
      <c r="A687" t="s">
        <v>35</v>
      </c>
      <c r="B687" t="s">
        <v>36</v>
      </c>
      <c r="C687" s="2">
        <v>46085</v>
      </c>
      <c r="D687">
        <v>91.2</v>
      </c>
      <c r="E687">
        <v>22.3</v>
      </c>
      <c r="F687">
        <v>1.7</v>
      </c>
      <c r="G687">
        <v>8</v>
      </c>
      <c r="H687">
        <v>68.099999999999994</v>
      </c>
      <c r="I687">
        <v>89.2</v>
      </c>
    </row>
    <row r="688" spans="1:9" x14ac:dyDescent="0.35">
      <c r="A688" t="s">
        <v>17</v>
      </c>
      <c r="B688" t="s">
        <v>18</v>
      </c>
      <c r="C688" s="2">
        <v>46100</v>
      </c>
      <c r="D688">
        <v>292.60000000000002</v>
      </c>
      <c r="E688">
        <v>70.099999999999994</v>
      </c>
      <c r="F688">
        <v>1.9</v>
      </c>
      <c r="G688">
        <v>2</v>
      </c>
      <c r="H688">
        <v>44.7</v>
      </c>
      <c r="I688">
        <v>94.7</v>
      </c>
    </row>
    <row r="689" spans="1:9" x14ac:dyDescent="0.35">
      <c r="A689" t="s">
        <v>29</v>
      </c>
      <c r="B689" t="s">
        <v>30</v>
      </c>
      <c r="C689" s="2">
        <v>46091</v>
      </c>
      <c r="D689">
        <v>250.6</v>
      </c>
      <c r="E689">
        <v>57</v>
      </c>
      <c r="F689">
        <v>1.2</v>
      </c>
      <c r="G689">
        <v>4</v>
      </c>
      <c r="H689">
        <v>54.7</v>
      </c>
      <c r="I689">
        <v>99.6</v>
      </c>
    </row>
    <row r="690" spans="1:9" x14ac:dyDescent="0.35">
      <c r="A690" t="s">
        <v>39</v>
      </c>
      <c r="B690" t="s">
        <v>40</v>
      </c>
      <c r="C690" s="2">
        <v>46031</v>
      </c>
      <c r="D690">
        <v>206.1</v>
      </c>
      <c r="E690">
        <v>41.2</v>
      </c>
      <c r="F690">
        <v>2.7</v>
      </c>
      <c r="G690">
        <v>7</v>
      </c>
      <c r="H690">
        <v>55.5</v>
      </c>
      <c r="I690">
        <v>90.1</v>
      </c>
    </row>
    <row r="691" spans="1:9" x14ac:dyDescent="0.35">
      <c r="A691" t="s">
        <v>19</v>
      </c>
      <c r="B691" t="s">
        <v>20</v>
      </c>
      <c r="C691" s="2">
        <v>46045</v>
      </c>
      <c r="D691">
        <v>325.2</v>
      </c>
      <c r="E691">
        <v>108</v>
      </c>
      <c r="F691">
        <v>4.2</v>
      </c>
      <c r="G691">
        <v>8</v>
      </c>
      <c r="H691">
        <v>35.1</v>
      </c>
      <c r="I691">
        <v>93.9</v>
      </c>
    </row>
    <row r="692" spans="1:9" x14ac:dyDescent="0.35">
      <c r="A692" t="s">
        <v>23</v>
      </c>
      <c r="B692" t="s">
        <v>24</v>
      </c>
      <c r="C692" s="2">
        <v>46094</v>
      </c>
      <c r="D692">
        <v>116.1</v>
      </c>
      <c r="E692">
        <v>29</v>
      </c>
      <c r="F692">
        <v>1.5</v>
      </c>
      <c r="G692">
        <v>7</v>
      </c>
      <c r="H692">
        <v>33.1</v>
      </c>
      <c r="I692">
        <v>86.6</v>
      </c>
    </row>
    <row r="693" spans="1:9" x14ac:dyDescent="0.35">
      <c r="A693" t="s">
        <v>45</v>
      </c>
      <c r="B693" t="s">
        <v>46</v>
      </c>
      <c r="C693" s="2">
        <v>46071</v>
      </c>
      <c r="D693">
        <v>201.1</v>
      </c>
      <c r="E693">
        <v>44.3</v>
      </c>
      <c r="F693">
        <v>0.5</v>
      </c>
      <c r="G693">
        <v>4</v>
      </c>
      <c r="H693">
        <v>66.8</v>
      </c>
      <c r="I693">
        <v>98.3</v>
      </c>
    </row>
    <row r="694" spans="1:9" x14ac:dyDescent="0.35">
      <c r="A694" t="s">
        <v>27</v>
      </c>
      <c r="B694" t="s">
        <v>28</v>
      </c>
      <c r="C694" s="2">
        <v>46041</v>
      </c>
      <c r="D694">
        <v>324.5</v>
      </c>
      <c r="E694">
        <v>80.7</v>
      </c>
      <c r="F694">
        <v>1.5</v>
      </c>
      <c r="G694">
        <v>8</v>
      </c>
      <c r="H694">
        <v>38.799999999999997</v>
      </c>
      <c r="I694">
        <v>95.2</v>
      </c>
    </row>
    <row r="695" spans="1:9" x14ac:dyDescent="0.35">
      <c r="A695" t="s">
        <v>23</v>
      </c>
      <c r="B695" t="s">
        <v>24</v>
      </c>
      <c r="C695" s="2">
        <v>46061</v>
      </c>
      <c r="D695">
        <v>291</v>
      </c>
      <c r="E695">
        <v>55.3</v>
      </c>
      <c r="F695">
        <v>1.5</v>
      </c>
      <c r="G695">
        <v>7</v>
      </c>
      <c r="H695">
        <v>62.3</v>
      </c>
      <c r="I695">
        <v>98.7</v>
      </c>
    </row>
    <row r="696" spans="1:9" x14ac:dyDescent="0.35">
      <c r="A696" t="s">
        <v>11</v>
      </c>
      <c r="B696" t="s">
        <v>12</v>
      </c>
      <c r="C696" s="2">
        <v>46097</v>
      </c>
      <c r="D696">
        <v>83</v>
      </c>
      <c r="E696">
        <v>15.2</v>
      </c>
      <c r="F696">
        <v>1.9</v>
      </c>
      <c r="G696">
        <v>3</v>
      </c>
      <c r="H696">
        <v>68.400000000000006</v>
      </c>
      <c r="I696">
        <v>85.9</v>
      </c>
    </row>
    <row r="697" spans="1:9" x14ac:dyDescent="0.35">
      <c r="A697" t="s">
        <v>13</v>
      </c>
      <c r="B697" t="s">
        <v>14</v>
      </c>
      <c r="C697" s="2">
        <v>46029</v>
      </c>
      <c r="D697">
        <v>80.3</v>
      </c>
      <c r="E697">
        <v>18.600000000000001</v>
      </c>
      <c r="F697">
        <v>4.4000000000000004</v>
      </c>
      <c r="G697">
        <v>2</v>
      </c>
      <c r="H697">
        <v>68.8</v>
      </c>
      <c r="I697">
        <v>98</v>
      </c>
    </row>
    <row r="698" spans="1:9" x14ac:dyDescent="0.35">
      <c r="A698" t="s">
        <v>19</v>
      </c>
      <c r="B698" t="s">
        <v>20</v>
      </c>
      <c r="C698" s="2">
        <v>46078</v>
      </c>
      <c r="D698">
        <v>339.8</v>
      </c>
      <c r="E698">
        <v>87.9</v>
      </c>
      <c r="F698">
        <v>1.6</v>
      </c>
      <c r="G698">
        <v>7</v>
      </c>
      <c r="H698">
        <v>48.3</v>
      </c>
      <c r="I698">
        <v>91.5</v>
      </c>
    </row>
    <row r="699" spans="1:9" x14ac:dyDescent="0.35">
      <c r="A699" t="s">
        <v>33</v>
      </c>
      <c r="B699" t="s">
        <v>34</v>
      </c>
      <c r="C699" s="2">
        <v>46107</v>
      </c>
      <c r="D699">
        <v>144.19999999999999</v>
      </c>
      <c r="E699">
        <v>45.4</v>
      </c>
      <c r="F699">
        <v>2.6</v>
      </c>
      <c r="G699">
        <v>6</v>
      </c>
      <c r="H699">
        <v>67.8</v>
      </c>
      <c r="I699">
        <v>87.3</v>
      </c>
    </row>
    <row r="700" spans="1:9" x14ac:dyDescent="0.35">
      <c r="A700" t="s">
        <v>25</v>
      </c>
      <c r="B700" t="s">
        <v>26</v>
      </c>
      <c r="C700" s="2">
        <v>46040</v>
      </c>
      <c r="D700">
        <v>84.3</v>
      </c>
      <c r="E700">
        <v>18.5</v>
      </c>
      <c r="F700">
        <v>0.8</v>
      </c>
      <c r="G700">
        <v>8</v>
      </c>
      <c r="H700">
        <v>59.6</v>
      </c>
      <c r="I700">
        <v>99.6</v>
      </c>
    </row>
    <row r="701" spans="1:9" x14ac:dyDescent="0.35">
      <c r="A701" t="s">
        <v>25</v>
      </c>
      <c r="B701" t="s">
        <v>26</v>
      </c>
      <c r="C701" s="2">
        <v>46033</v>
      </c>
      <c r="D701">
        <v>130.80000000000001</v>
      </c>
      <c r="E701">
        <v>26.3</v>
      </c>
      <c r="F701">
        <v>3.9</v>
      </c>
      <c r="G701">
        <v>7</v>
      </c>
      <c r="H701">
        <v>58</v>
      </c>
      <c r="I701">
        <v>91.8</v>
      </c>
    </row>
    <row r="702" spans="1:9" x14ac:dyDescent="0.35">
      <c r="A702" t="s">
        <v>15</v>
      </c>
      <c r="B702" t="s">
        <v>16</v>
      </c>
      <c r="C702" s="2">
        <v>46093</v>
      </c>
      <c r="D702">
        <v>383.4</v>
      </c>
      <c r="E702">
        <v>99.9</v>
      </c>
      <c r="F702">
        <v>1.2</v>
      </c>
      <c r="G702">
        <v>7</v>
      </c>
      <c r="H702">
        <v>57.2</v>
      </c>
      <c r="I702">
        <v>93.7</v>
      </c>
    </row>
    <row r="703" spans="1:9" x14ac:dyDescent="0.35">
      <c r="A703" t="s">
        <v>19</v>
      </c>
      <c r="B703" t="s">
        <v>20</v>
      </c>
      <c r="C703" s="2">
        <v>46087</v>
      </c>
      <c r="D703">
        <v>179.6</v>
      </c>
      <c r="E703">
        <v>33.9</v>
      </c>
      <c r="F703">
        <v>2.7</v>
      </c>
      <c r="G703">
        <v>1</v>
      </c>
      <c r="H703">
        <v>74</v>
      </c>
      <c r="I703">
        <v>93.5</v>
      </c>
    </row>
    <row r="704" spans="1:9" x14ac:dyDescent="0.35">
      <c r="A704" t="s">
        <v>17</v>
      </c>
      <c r="B704" t="s">
        <v>18</v>
      </c>
      <c r="C704" s="2">
        <v>46037</v>
      </c>
      <c r="D704">
        <v>294.7</v>
      </c>
      <c r="E704">
        <v>54.6</v>
      </c>
      <c r="F704">
        <v>0.5</v>
      </c>
      <c r="G704">
        <v>5</v>
      </c>
      <c r="H704">
        <v>50.9</v>
      </c>
      <c r="I704">
        <v>86.2</v>
      </c>
    </row>
    <row r="705" spans="1:9" x14ac:dyDescent="0.35">
      <c r="A705" t="s">
        <v>45</v>
      </c>
      <c r="B705" t="s">
        <v>46</v>
      </c>
      <c r="C705" s="2">
        <v>46034</v>
      </c>
      <c r="D705">
        <v>170.7</v>
      </c>
      <c r="E705">
        <v>37.9</v>
      </c>
      <c r="F705">
        <v>3.1</v>
      </c>
      <c r="G705">
        <v>2</v>
      </c>
      <c r="H705">
        <v>60.8</v>
      </c>
      <c r="I705">
        <v>93.1</v>
      </c>
    </row>
    <row r="706" spans="1:9" x14ac:dyDescent="0.35">
      <c r="A706" t="s">
        <v>41</v>
      </c>
      <c r="B706" t="s">
        <v>42</v>
      </c>
      <c r="C706" s="2">
        <v>46062</v>
      </c>
      <c r="D706">
        <v>306.8</v>
      </c>
      <c r="E706">
        <v>58.6</v>
      </c>
      <c r="F706">
        <v>2.5</v>
      </c>
      <c r="G706">
        <v>1</v>
      </c>
      <c r="H706">
        <v>51.1</v>
      </c>
      <c r="I706">
        <v>92.7</v>
      </c>
    </row>
    <row r="707" spans="1:9" x14ac:dyDescent="0.35">
      <c r="A707" t="s">
        <v>43</v>
      </c>
      <c r="B707" t="s">
        <v>44</v>
      </c>
      <c r="C707" s="2">
        <v>46096</v>
      </c>
      <c r="D707">
        <v>351.5</v>
      </c>
      <c r="E707">
        <v>89.3</v>
      </c>
      <c r="F707">
        <v>4.3</v>
      </c>
      <c r="G707">
        <v>5</v>
      </c>
      <c r="H707">
        <v>43</v>
      </c>
      <c r="I707">
        <v>85.5</v>
      </c>
    </row>
    <row r="708" spans="1:9" x14ac:dyDescent="0.35">
      <c r="A708" t="s">
        <v>45</v>
      </c>
      <c r="B708" t="s">
        <v>46</v>
      </c>
      <c r="C708" s="2">
        <v>46061</v>
      </c>
      <c r="D708">
        <v>349</v>
      </c>
      <c r="E708">
        <v>80.7</v>
      </c>
      <c r="F708">
        <v>0.5</v>
      </c>
      <c r="G708">
        <v>8</v>
      </c>
      <c r="H708">
        <v>56</v>
      </c>
      <c r="I708">
        <v>93.6</v>
      </c>
    </row>
    <row r="709" spans="1:9" x14ac:dyDescent="0.35">
      <c r="A709" t="s">
        <v>29</v>
      </c>
      <c r="B709" t="s">
        <v>30</v>
      </c>
      <c r="C709" s="2">
        <v>46102</v>
      </c>
      <c r="D709">
        <v>90.1</v>
      </c>
      <c r="E709">
        <v>21.9</v>
      </c>
      <c r="F709">
        <v>2.2999999999999998</v>
      </c>
      <c r="G709">
        <v>2</v>
      </c>
      <c r="H709">
        <v>68.3</v>
      </c>
      <c r="I709">
        <v>89.2</v>
      </c>
    </row>
    <row r="710" spans="1:9" x14ac:dyDescent="0.35">
      <c r="A710" t="s">
        <v>25</v>
      </c>
      <c r="B710" t="s">
        <v>26</v>
      </c>
      <c r="C710" s="2">
        <v>46101</v>
      </c>
      <c r="D710">
        <v>184</v>
      </c>
      <c r="E710">
        <v>36</v>
      </c>
      <c r="F710">
        <v>0.3</v>
      </c>
      <c r="G710">
        <v>2</v>
      </c>
      <c r="H710">
        <v>57.2</v>
      </c>
      <c r="I710">
        <v>98.7</v>
      </c>
    </row>
    <row r="711" spans="1:9" x14ac:dyDescent="0.35">
      <c r="A711" t="s">
        <v>25</v>
      </c>
      <c r="B711" t="s">
        <v>26</v>
      </c>
      <c r="C711" s="2">
        <v>46107</v>
      </c>
      <c r="D711">
        <v>245.3</v>
      </c>
      <c r="E711">
        <v>49.2</v>
      </c>
      <c r="F711">
        <v>1.3</v>
      </c>
      <c r="G711">
        <v>4</v>
      </c>
      <c r="H711">
        <v>51.8</v>
      </c>
      <c r="I711">
        <v>97</v>
      </c>
    </row>
    <row r="712" spans="1:9" x14ac:dyDescent="0.35">
      <c r="A712" t="s">
        <v>21</v>
      </c>
      <c r="B712" t="s">
        <v>22</v>
      </c>
      <c r="C712" s="2">
        <v>46066</v>
      </c>
      <c r="D712">
        <v>444.1</v>
      </c>
      <c r="E712">
        <v>82.1</v>
      </c>
      <c r="F712">
        <v>2.8</v>
      </c>
      <c r="G712">
        <v>3</v>
      </c>
      <c r="H712">
        <v>67.7</v>
      </c>
      <c r="I712">
        <v>96.3</v>
      </c>
    </row>
    <row r="713" spans="1:9" x14ac:dyDescent="0.35">
      <c r="A713" t="s">
        <v>15</v>
      </c>
      <c r="B713" t="s">
        <v>16</v>
      </c>
      <c r="C713" s="2">
        <v>46072</v>
      </c>
      <c r="D713">
        <v>168</v>
      </c>
      <c r="E713">
        <v>42.1</v>
      </c>
      <c r="F713">
        <v>2.9</v>
      </c>
      <c r="G713">
        <v>4</v>
      </c>
      <c r="H713">
        <v>56</v>
      </c>
      <c r="I713">
        <v>97.6</v>
      </c>
    </row>
    <row r="714" spans="1:9" x14ac:dyDescent="0.35">
      <c r="A714" t="s">
        <v>21</v>
      </c>
      <c r="B714" t="s">
        <v>22</v>
      </c>
      <c r="C714" s="2">
        <v>46105</v>
      </c>
      <c r="D714">
        <v>177.8</v>
      </c>
      <c r="E714">
        <v>35.5</v>
      </c>
      <c r="F714">
        <v>0.4</v>
      </c>
      <c r="G714">
        <v>8</v>
      </c>
      <c r="H714">
        <v>47.9</v>
      </c>
      <c r="I714">
        <v>89.5</v>
      </c>
    </row>
    <row r="715" spans="1:9" x14ac:dyDescent="0.35">
      <c r="A715" t="s">
        <v>13</v>
      </c>
      <c r="B715" t="s">
        <v>14</v>
      </c>
      <c r="C715" s="2">
        <v>46052</v>
      </c>
      <c r="D715">
        <v>220.5</v>
      </c>
      <c r="E715">
        <v>46.9</v>
      </c>
      <c r="F715">
        <v>2.2000000000000002</v>
      </c>
      <c r="G715">
        <v>3</v>
      </c>
      <c r="H715">
        <v>53.9</v>
      </c>
      <c r="I715">
        <v>91.5</v>
      </c>
    </row>
    <row r="716" spans="1:9" x14ac:dyDescent="0.35">
      <c r="A716" t="s">
        <v>29</v>
      </c>
      <c r="B716" t="s">
        <v>30</v>
      </c>
      <c r="C716" s="2">
        <v>46080</v>
      </c>
      <c r="D716">
        <v>221.3</v>
      </c>
      <c r="E716">
        <v>60.6</v>
      </c>
      <c r="F716">
        <v>2.5</v>
      </c>
      <c r="G716">
        <v>1</v>
      </c>
      <c r="H716">
        <v>34.4</v>
      </c>
      <c r="I716">
        <v>93</v>
      </c>
    </row>
    <row r="717" spans="1:9" x14ac:dyDescent="0.35">
      <c r="A717" t="s">
        <v>17</v>
      </c>
      <c r="B717" t="s">
        <v>18</v>
      </c>
      <c r="C717" s="2">
        <v>46078</v>
      </c>
      <c r="D717">
        <v>305.89999999999998</v>
      </c>
      <c r="E717">
        <v>67.099999999999994</v>
      </c>
      <c r="F717">
        <v>1.4</v>
      </c>
      <c r="G717">
        <v>5</v>
      </c>
      <c r="H717">
        <v>42</v>
      </c>
      <c r="I717">
        <v>86.5</v>
      </c>
    </row>
    <row r="718" spans="1:9" x14ac:dyDescent="0.35">
      <c r="A718" t="s">
        <v>41</v>
      </c>
      <c r="B718" t="s">
        <v>42</v>
      </c>
      <c r="C718" s="2">
        <v>46073</v>
      </c>
      <c r="D718">
        <v>250.6</v>
      </c>
      <c r="E718">
        <v>54.2</v>
      </c>
      <c r="F718">
        <v>1.2</v>
      </c>
      <c r="G718">
        <v>4</v>
      </c>
      <c r="H718">
        <v>53.4</v>
      </c>
      <c r="I718">
        <v>95.2</v>
      </c>
    </row>
    <row r="719" spans="1:9" x14ac:dyDescent="0.35">
      <c r="A719" t="s">
        <v>37</v>
      </c>
      <c r="B719" t="s">
        <v>38</v>
      </c>
      <c r="C719" s="2">
        <v>46063</v>
      </c>
      <c r="D719">
        <v>282.60000000000002</v>
      </c>
      <c r="E719">
        <v>61.2</v>
      </c>
      <c r="F719">
        <v>3.8</v>
      </c>
      <c r="G719">
        <v>1</v>
      </c>
      <c r="H719">
        <v>48.5</v>
      </c>
      <c r="I719">
        <v>92.9</v>
      </c>
    </row>
    <row r="720" spans="1:9" x14ac:dyDescent="0.35">
      <c r="A720" t="s">
        <v>35</v>
      </c>
      <c r="B720" t="s">
        <v>36</v>
      </c>
      <c r="C720" s="2">
        <v>46067</v>
      </c>
      <c r="D720">
        <v>161.19999999999999</v>
      </c>
      <c r="E720">
        <v>45.2</v>
      </c>
      <c r="F720">
        <v>1</v>
      </c>
      <c r="G720">
        <v>1</v>
      </c>
      <c r="H720">
        <v>57.9</v>
      </c>
      <c r="I720">
        <v>85.9</v>
      </c>
    </row>
    <row r="721" spans="1:9" x14ac:dyDescent="0.35">
      <c r="A721" t="s">
        <v>45</v>
      </c>
      <c r="B721" t="s">
        <v>46</v>
      </c>
      <c r="C721" s="2">
        <v>46107</v>
      </c>
      <c r="D721">
        <v>410.8</v>
      </c>
      <c r="E721">
        <v>121.3</v>
      </c>
      <c r="F721">
        <v>2.8</v>
      </c>
      <c r="G721">
        <v>2</v>
      </c>
      <c r="H721">
        <v>61.9</v>
      </c>
      <c r="I721">
        <v>86.8</v>
      </c>
    </row>
    <row r="722" spans="1:9" x14ac:dyDescent="0.35">
      <c r="A722" t="s">
        <v>45</v>
      </c>
      <c r="B722" t="s">
        <v>46</v>
      </c>
      <c r="C722" s="2">
        <v>46039</v>
      </c>
      <c r="D722">
        <v>219.1</v>
      </c>
      <c r="E722">
        <v>45.1</v>
      </c>
      <c r="F722">
        <v>3</v>
      </c>
      <c r="G722">
        <v>3</v>
      </c>
      <c r="H722">
        <v>70.3</v>
      </c>
      <c r="I722">
        <v>95.4</v>
      </c>
    </row>
    <row r="723" spans="1:9" x14ac:dyDescent="0.35">
      <c r="A723" t="s">
        <v>47</v>
      </c>
      <c r="B723" t="s">
        <v>48</v>
      </c>
      <c r="C723" s="2">
        <v>46060</v>
      </c>
      <c r="D723">
        <v>252.8</v>
      </c>
      <c r="E723">
        <v>47.5</v>
      </c>
      <c r="F723">
        <v>2.9</v>
      </c>
      <c r="G723">
        <v>5</v>
      </c>
      <c r="H723">
        <v>64.599999999999994</v>
      </c>
      <c r="I723">
        <v>95.4</v>
      </c>
    </row>
    <row r="724" spans="1:9" x14ac:dyDescent="0.35">
      <c r="A724" t="s">
        <v>23</v>
      </c>
      <c r="B724" t="s">
        <v>24</v>
      </c>
      <c r="C724" s="2">
        <v>46055</v>
      </c>
      <c r="D724">
        <v>139.9</v>
      </c>
      <c r="E724">
        <v>46.6</v>
      </c>
      <c r="F724">
        <v>3.5</v>
      </c>
      <c r="G724">
        <v>7</v>
      </c>
      <c r="H724">
        <v>47.5</v>
      </c>
      <c r="I724">
        <v>99.9</v>
      </c>
    </row>
    <row r="725" spans="1:9" x14ac:dyDescent="0.35">
      <c r="A725" t="s">
        <v>47</v>
      </c>
      <c r="B725" t="s">
        <v>48</v>
      </c>
      <c r="C725" s="2">
        <v>46056</v>
      </c>
      <c r="D725">
        <v>145.80000000000001</v>
      </c>
      <c r="E725">
        <v>48.8</v>
      </c>
      <c r="F725">
        <v>4.4000000000000004</v>
      </c>
      <c r="G725">
        <v>4</v>
      </c>
      <c r="H725">
        <v>57.5</v>
      </c>
      <c r="I725">
        <v>87.7</v>
      </c>
    </row>
    <row r="726" spans="1:9" x14ac:dyDescent="0.35">
      <c r="A726" t="s">
        <v>43</v>
      </c>
      <c r="B726" t="s">
        <v>44</v>
      </c>
      <c r="C726" s="2">
        <v>46036</v>
      </c>
      <c r="D726">
        <v>133.19999999999999</v>
      </c>
      <c r="E726">
        <v>27.3</v>
      </c>
      <c r="F726">
        <v>1.1000000000000001</v>
      </c>
      <c r="G726">
        <v>2</v>
      </c>
      <c r="H726">
        <v>71.099999999999994</v>
      </c>
      <c r="I726">
        <v>95.7</v>
      </c>
    </row>
    <row r="727" spans="1:9" x14ac:dyDescent="0.35">
      <c r="A727" t="s">
        <v>9</v>
      </c>
      <c r="B727" t="s">
        <v>10</v>
      </c>
      <c r="C727" s="2">
        <v>46027</v>
      </c>
      <c r="D727">
        <v>107</v>
      </c>
      <c r="E727">
        <v>24.6</v>
      </c>
      <c r="F727">
        <v>1.3</v>
      </c>
      <c r="G727">
        <v>8</v>
      </c>
      <c r="H727">
        <v>30.8</v>
      </c>
      <c r="I727">
        <v>92.5</v>
      </c>
    </row>
    <row r="728" spans="1:9" x14ac:dyDescent="0.35">
      <c r="A728" t="s">
        <v>27</v>
      </c>
      <c r="B728" t="s">
        <v>28</v>
      </c>
      <c r="C728" s="2">
        <v>46027</v>
      </c>
      <c r="D728">
        <v>325.89999999999998</v>
      </c>
      <c r="E728">
        <v>92.6</v>
      </c>
      <c r="F728">
        <v>3.2</v>
      </c>
      <c r="G728">
        <v>7</v>
      </c>
      <c r="H728">
        <v>55.9</v>
      </c>
      <c r="I728">
        <v>92.7</v>
      </c>
    </row>
    <row r="729" spans="1:9" x14ac:dyDescent="0.35">
      <c r="A729" t="s">
        <v>43</v>
      </c>
      <c r="B729" t="s">
        <v>44</v>
      </c>
      <c r="C729" s="2">
        <v>46084</v>
      </c>
      <c r="D729">
        <v>241.3</v>
      </c>
      <c r="E729">
        <v>47.5</v>
      </c>
      <c r="F729">
        <v>3.6</v>
      </c>
      <c r="G729">
        <v>2</v>
      </c>
      <c r="H729">
        <v>54.3</v>
      </c>
      <c r="I729">
        <v>85</v>
      </c>
    </row>
    <row r="730" spans="1:9" x14ac:dyDescent="0.35">
      <c r="A730" t="s">
        <v>43</v>
      </c>
      <c r="B730" t="s">
        <v>44</v>
      </c>
      <c r="C730" s="2">
        <v>46038</v>
      </c>
      <c r="D730">
        <v>289.89999999999998</v>
      </c>
      <c r="E730">
        <v>54.4</v>
      </c>
      <c r="F730">
        <v>1.7</v>
      </c>
      <c r="G730">
        <v>5</v>
      </c>
      <c r="H730">
        <v>48</v>
      </c>
      <c r="I730">
        <v>94.5</v>
      </c>
    </row>
    <row r="731" spans="1:9" x14ac:dyDescent="0.35">
      <c r="A731" t="s">
        <v>11</v>
      </c>
      <c r="B731" t="s">
        <v>12</v>
      </c>
      <c r="C731" s="2">
        <v>46069</v>
      </c>
      <c r="D731">
        <v>277.8</v>
      </c>
      <c r="E731">
        <v>51.5</v>
      </c>
      <c r="F731">
        <v>0.5</v>
      </c>
      <c r="G731">
        <v>8</v>
      </c>
      <c r="H731">
        <v>64.2</v>
      </c>
      <c r="I731">
        <v>89.3</v>
      </c>
    </row>
    <row r="732" spans="1:9" x14ac:dyDescent="0.35">
      <c r="A732" t="s">
        <v>33</v>
      </c>
      <c r="B732" t="s">
        <v>34</v>
      </c>
      <c r="C732" s="2">
        <v>46045</v>
      </c>
      <c r="D732">
        <v>285.2</v>
      </c>
      <c r="E732">
        <v>52.7</v>
      </c>
      <c r="F732">
        <v>3</v>
      </c>
      <c r="G732">
        <v>5</v>
      </c>
      <c r="H732">
        <v>61.3</v>
      </c>
      <c r="I732">
        <v>98.4</v>
      </c>
    </row>
    <row r="733" spans="1:9" x14ac:dyDescent="0.35">
      <c r="A733" t="s">
        <v>17</v>
      </c>
      <c r="B733" t="s">
        <v>18</v>
      </c>
      <c r="C733" s="2">
        <v>46085</v>
      </c>
      <c r="D733">
        <v>111.4</v>
      </c>
      <c r="E733">
        <v>24.7</v>
      </c>
      <c r="F733">
        <v>3.4</v>
      </c>
      <c r="G733">
        <v>3</v>
      </c>
      <c r="H733">
        <v>31.6</v>
      </c>
      <c r="I733">
        <v>85.4</v>
      </c>
    </row>
    <row r="734" spans="1:9" x14ac:dyDescent="0.35">
      <c r="A734" t="s">
        <v>41</v>
      </c>
      <c r="B734" t="s">
        <v>42</v>
      </c>
      <c r="C734" s="2">
        <v>46053</v>
      </c>
      <c r="D734">
        <v>261</v>
      </c>
      <c r="E734">
        <v>87.9</v>
      </c>
      <c r="F734">
        <v>2.5</v>
      </c>
      <c r="G734">
        <v>5</v>
      </c>
      <c r="H734">
        <v>52.5</v>
      </c>
      <c r="I734">
        <v>99.5</v>
      </c>
    </row>
    <row r="735" spans="1:9" x14ac:dyDescent="0.35">
      <c r="A735" t="s">
        <v>35</v>
      </c>
      <c r="B735" t="s">
        <v>36</v>
      </c>
      <c r="C735" s="2">
        <v>46025</v>
      </c>
      <c r="D735">
        <v>93.7</v>
      </c>
      <c r="E735">
        <v>31.7</v>
      </c>
      <c r="F735">
        <v>3.6</v>
      </c>
      <c r="G735">
        <v>1</v>
      </c>
      <c r="H735">
        <v>48.2</v>
      </c>
      <c r="I735">
        <v>88.2</v>
      </c>
    </row>
    <row r="736" spans="1:9" x14ac:dyDescent="0.35">
      <c r="A736" t="s">
        <v>31</v>
      </c>
      <c r="B736" t="s">
        <v>32</v>
      </c>
      <c r="C736" s="2">
        <v>46081</v>
      </c>
      <c r="D736">
        <v>427.8</v>
      </c>
      <c r="E736">
        <v>83.1</v>
      </c>
      <c r="F736">
        <v>2.5</v>
      </c>
      <c r="G736">
        <v>4</v>
      </c>
      <c r="H736">
        <v>71.599999999999994</v>
      </c>
      <c r="I736">
        <v>85.6</v>
      </c>
    </row>
    <row r="737" spans="1:9" x14ac:dyDescent="0.35">
      <c r="A737" t="s">
        <v>25</v>
      </c>
      <c r="B737" t="s">
        <v>26</v>
      </c>
      <c r="C737" s="2">
        <v>46085</v>
      </c>
      <c r="D737">
        <v>321.89999999999998</v>
      </c>
      <c r="E737">
        <v>79</v>
      </c>
      <c r="F737">
        <v>4.0999999999999996</v>
      </c>
      <c r="G737">
        <v>1</v>
      </c>
      <c r="H737">
        <v>40.9</v>
      </c>
      <c r="I737">
        <v>94.7</v>
      </c>
    </row>
    <row r="738" spans="1:9" x14ac:dyDescent="0.35">
      <c r="A738" t="s">
        <v>27</v>
      </c>
      <c r="B738" t="s">
        <v>28</v>
      </c>
      <c r="C738" s="2">
        <v>46045</v>
      </c>
      <c r="D738">
        <v>314.10000000000002</v>
      </c>
      <c r="E738">
        <v>59.9</v>
      </c>
      <c r="F738">
        <v>3.7</v>
      </c>
      <c r="G738">
        <v>2</v>
      </c>
      <c r="H738">
        <v>50.5</v>
      </c>
      <c r="I738">
        <v>87.6</v>
      </c>
    </row>
    <row r="739" spans="1:9" x14ac:dyDescent="0.35">
      <c r="A739" t="s">
        <v>41</v>
      </c>
      <c r="B739" t="s">
        <v>42</v>
      </c>
      <c r="C739" s="2">
        <v>46031</v>
      </c>
      <c r="D739">
        <v>382.6</v>
      </c>
      <c r="E739">
        <v>123.9</v>
      </c>
      <c r="F739">
        <v>2.2999999999999998</v>
      </c>
      <c r="G739">
        <v>4</v>
      </c>
      <c r="H739">
        <v>32.799999999999997</v>
      </c>
      <c r="I739">
        <v>88</v>
      </c>
    </row>
    <row r="740" spans="1:9" x14ac:dyDescent="0.35">
      <c r="A740" t="s">
        <v>23</v>
      </c>
      <c r="B740" t="s">
        <v>24</v>
      </c>
      <c r="C740" s="2">
        <v>46109</v>
      </c>
      <c r="D740">
        <v>228.7</v>
      </c>
      <c r="E740">
        <v>73.2</v>
      </c>
      <c r="F740">
        <v>3.1</v>
      </c>
      <c r="G740">
        <v>3</v>
      </c>
      <c r="H740">
        <v>44.5</v>
      </c>
      <c r="I740">
        <v>99.5</v>
      </c>
    </row>
    <row r="741" spans="1:9" x14ac:dyDescent="0.35">
      <c r="A741" t="s">
        <v>33</v>
      </c>
      <c r="B741" t="s">
        <v>34</v>
      </c>
      <c r="C741" s="2">
        <v>46028</v>
      </c>
      <c r="D741">
        <v>299.39999999999998</v>
      </c>
      <c r="E741">
        <v>80.8</v>
      </c>
      <c r="F741">
        <v>0.7</v>
      </c>
      <c r="G741">
        <v>3</v>
      </c>
      <c r="H741">
        <v>64.099999999999994</v>
      </c>
      <c r="I741">
        <v>87.5</v>
      </c>
    </row>
    <row r="742" spans="1:9" x14ac:dyDescent="0.35">
      <c r="A742" t="s">
        <v>17</v>
      </c>
      <c r="B742" t="s">
        <v>18</v>
      </c>
      <c r="C742" s="2">
        <v>46093</v>
      </c>
      <c r="D742">
        <v>141.1</v>
      </c>
      <c r="E742">
        <v>40.799999999999997</v>
      </c>
      <c r="F742">
        <v>2.7</v>
      </c>
      <c r="G742">
        <v>3</v>
      </c>
      <c r="H742">
        <v>34.5</v>
      </c>
      <c r="I742">
        <v>97.7</v>
      </c>
    </row>
    <row r="743" spans="1:9" x14ac:dyDescent="0.35">
      <c r="A743" t="s">
        <v>45</v>
      </c>
      <c r="B743" t="s">
        <v>46</v>
      </c>
      <c r="C743" s="2">
        <v>46071</v>
      </c>
      <c r="D743">
        <v>367.7</v>
      </c>
      <c r="E743">
        <v>129.4</v>
      </c>
      <c r="F743">
        <v>2.2999999999999998</v>
      </c>
      <c r="G743">
        <v>1</v>
      </c>
      <c r="H743">
        <v>30.3</v>
      </c>
      <c r="I743">
        <v>98.9</v>
      </c>
    </row>
    <row r="744" spans="1:9" x14ac:dyDescent="0.35">
      <c r="A744" t="s">
        <v>41</v>
      </c>
      <c r="B744" t="s">
        <v>42</v>
      </c>
      <c r="C744" s="2">
        <v>46059</v>
      </c>
      <c r="D744">
        <v>234</v>
      </c>
      <c r="E744">
        <v>47</v>
      </c>
      <c r="F744">
        <v>3.5</v>
      </c>
      <c r="G744">
        <v>3</v>
      </c>
      <c r="H744">
        <v>39.299999999999997</v>
      </c>
      <c r="I744">
        <v>94.6</v>
      </c>
    </row>
    <row r="745" spans="1:9" x14ac:dyDescent="0.35">
      <c r="A745" t="s">
        <v>31</v>
      </c>
      <c r="B745" t="s">
        <v>32</v>
      </c>
      <c r="C745" s="2">
        <v>46080</v>
      </c>
      <c r="D745">
        <v>232.5</v>
      </c>
      <c r="E745">
        <v>43.6</v>
      </c>
      <c r="F745">
        <v>2.8</v>
      </c>
      <c r="G745">
        <v>1</v>
      </c>
      <c r="H745">
        <v>56.8</v>
      </c>
      <c r="I745">
        <v>95.8</v>
      </c>
    </row>
    <row r="746" spans="1:9" x14ac:dyDescent="0.35">
      <c r="A746" t="s">
        <v>45</v>
      </c>
      <c r="B746" t="s">
        <v>46</v>
      </c>
      <c r="C746" s="2">
        <v>46034</v>
      </c>
      <c r="D746">
        <v>312.10000000000002</v>
      </c>
      <c r="E746">
        <v>63.5</v>
      </c>
      <c r="F746">
        <v>1.7</v>
      </c>
      <c r="G746">
        <v>1</v>
      </c>
      <c r="H746">
        <v>55.1</v>
      </c>
      <c r="I746">
        <v>87.9</v>
      </c>
    </row>
    <row r="747" spans="1:9" x14ac:dyDescent="0.35">
      <c r="A747" t="s">
        <v>31</v>
      </c>
      <c r="B747" t="s">
        <v>32</v>
      </c>
      <c r="C747" s="2">
        <v>46035</v>
      </c>
      <c r="D747">
        <v>309</v>
      </c>
      <c r="E747">
        <v>60.2</v>
      </c>
      <c r="F747">
        <v>4.4000000000000004</v>
      </c>
      <c r="G747">
        <v>4</v>
      </c>
      <c r="H747">
        <v>50.9</v>
      </c>
      <c r="I747">
        <v>94.4</v>
      </c>
    </row>
    <row r="748" spans="1:9" x14ac:dyDescent="0.35">
      <c r="A748" t="s">
        <v>33</v>
      </c>
      <c r="B748" t="s">
        <v>34</v>
      </c>
      <c r="C748" s="2">
        <v>46058</v>
      </c>
      <c r="D748">
        <v>99.6</v>
      </c>
      <c r="E748">
        <v>32.1</v>
      </c>
      <c r="F748">
        <v>0.8</v>
      </c>
      <c r="G748">
        <v>8</v>
      </c>
      <c r="H748">
        <v>52.4</v>
      </c>
      <c r="I748">
        <v>87.4</v>
      </c>
    </row>
    <row r="749" spans="1:9" x14ac:dyDescent="0.35">
      <c r="A749" t="s">
        <v>21</v>
      </c>
      <c r="B749" t="s">
        <v>22</v>
      </c>
      <c r="C749" s="2">
        <v>46029</v>
      </c>
      <c r="D749">
        <v>318.60000000000002</v>
      </c>
      <c r="E749">
        <v>89.3</v>
      </c>
      <c r="F749">
        <v>2.1</v>
      </c>
      <c r="G749">
        <v>6</v>
      </c>
      <c r="H749">
        <v>57.8</v>
      </c>
      <c r="I749">
        <v>98.4</v>
      </c>
    </row>
    <row r="750" spans="1:9" x14ac:dyDescent="0.35">
      <c r="A750" t="s">
        <v>35</v>
      </c>
      <c r="B750" t="s">
        <v>36</v>
      </c>
      <c r="C750" s="2">
        <v>46028</v>
      </c>
      <c r="D750">
        <v>118.6</v>
      </c>
      <c r="E750">
        <v>40.299999999999997</v>
      </c>
      <c r="F750">
        <v>2.5</v>
      </c>
      <c r="G750">
        <v>3</v>
      </c>
      <c r="H750">
        <v>65.3</v>
      </c>
      <c r="I750">
        <v>92.3</v>
      </c>
    </row>
    <row r="751" spans="1:9" x14ac:dyDescent="0.35">
      <c r="A751" t="s">
        <v>9</v>
      </c>
      <c r="B751" t="s">
        <v>10</v>
      </c>
      <c r="C751" s="2">
        <v>46032</v>
      </c>
      <c r="D751">
        <v>411.2</v>
      </c>
      <c r="E751">
        <v>86.6</v>
      </c>
      <c r="F751">
        <v>2.7</v>
      </c>
      <c r="G751">
        <v>6</v>
      </c>
      <c r="H751">
        <v>48.9</v>
      </c>
      <c r="I751">
        <v>96.2</v>
      </c>
    </row>
    <row r="752" spans="1:9" x14ac:dyDescent="0.35">
      <c r="A752" t="s">
        <v>23</v>
      </c>
      <c r="B752" t="s">
        <v>24</v>
      </c>
      <c r="C752" s="2">
        <v>46052</v>
      </c>
      <c r="D752">
        <v>368.2</v>
      </c>
      <c r="E752">
        <v>100</v>
      </c>
      <c r="F752">
        <v>0.6</v>
      </c>
      <c r="G752">
        <v>7</v>
      </c>
      <c r="H752">
        <v>69.099999999999994</v>
      </c>
      <c r="I752">
        <v>90.6</v>
      </c>
    </row>
    <row r="753" spans="1:9" x14ac:dyDescent="0.35">
      <c r="A753" t="s">
        <v>19</v>
      </c>
      <c r="B753" t="s">
        <v>20</v>
      </c>
      <c r="C753" s="2">
        <v>46032</v>
      </c>
      <c r="D753">
        <v>254.3</v>
      </c>
      <c r="E753">
        <v>61.9</v>
      </c>
      <c r="F753">
        <v>4</v>
      </c>
      <c r="G753">
        <v>3</v>
      </c>
      <c r="H753">
        <v>39.700000000000003</v>
      </c>
      <c r="I753">
        <v>94.1</v>
      </c>
    </row>
    <row r="754" spans="1:9" x14ac:dyDescent="0.35">
      <c r="A754" t="s">
        <v>37</v>
      </c>
      <c r="B754" t="s">
        <v>38</v>
      </c>
      <c r="C754" s="2">
        <v>46072</v>
      </c>
      <c r="D754">
        <v>218.2</v>
      </c>
      <c r="E754">
        <v>54.1</v>
      </c>
      <c r="F754">
        <v>1</v>
      </c>
      <c r="G754">
        <v>6</v>
      </c>
      <c r="H754">
        <v>73.900000000000006</v>
      </c>
      <c r="I754">
        <v>88</v>
      </c>
    </row>
    <row r="755" spans="1:9" x14ac:dyDescent="0.35">
      <c r="A755" t="s">
        <v>25</v>
      </c>
      <c r="B755" t="s">
        <v>26</v>
      </c>
      <c r="C755" s="2">
        <v>46027</v>
      </c>
      <c r="D755">
        <v>336.1</v>
      </c>
      <c r="E755">
        <v>113.5</v>
      </c>
      <c r="F755">
        <v>0.8</v>
      </c>
      <c r="G755">
        <v>8</v>
      </c>
      <c r="H755">
        <v>50.6</v>
      </c>
      <c r="I755">
        <v>87.6</v>
      </c>
    </row>
    <row r="756" spans="1:9" x14ac:dyDescent="0.35">
      <c r="A756" t="s">
        <v>23</v>
      </c>
      <c r="B756" t="s">
        <v>24</v>
      </c>
      <c r="C756" s="2">
        <v>46051</v>
      </c>
      <c r="D756">
        <v>408</v>
      </c>
      <c r="E756">
        <v>92.1</v>
      </c>
      <c r="F756">
        <v>3.6</v>
      </c>
      <c r="G756">
        <v>3</v>
      </c>
      <c r="H756">
        <v>56</v>
      </c>
      <c r="I756">
        <v>93.3</v>
      </c>
    </row>
    <row r="757" spans="1:9" x14ac:dyDescent="0.35">
      <c r="A757" t="s">
        <v>19</v>
      </c>
      <c r="B757" t="s">
        <v>20</v>
      </c>
      <c r="C757" s="2">
        <v>46034</v>
      </c>
      <c r="D757">
        <v>232.3</v>
      </c>
      <c r="E757">
        <v>55.2</v>
      </c>
      <c r="F757">
        <v>3.9</v>
      </c>
      <c r="G757">
        <v>4</v>
      </c>
      <c r="H757">
        <v>56.6</v>
      </c>
      <c r="I757">
        <v>97.6</v>
      </c>
    </row>
    <row r="758" spans="1:9" x14ac:dyDescent="0.35">
      <c r="A758" t="s">
        <v>47</v>
      </c>
      <c r="B758" t="s">
        <v>48</v>
      </c>
      <c r="C758" s="2">
        <v>46024</v>
      </c>
      <c r="D758">
        <v>350.1</v>
      </c>
      <c r="E758">
        <v>73.099999999999994</v>
      </c>
      <c r="F758">
        <v>1.3</v>
      </c>
      <c r="G758">
        <v>6</v>
      </c>
      <c r="H758">
        <v>49.5</v>
      </c>
      <c r="I758">
        <v>88.3</v>
      </c>
    </row>
    <row r="759" spans="1:9" x14ac:dyDescent="0.35">
      <c r="A759" t="s">
        <v>41</v>
      </c>
      <c r="B759" t="s">
        <v>42</v>
      </c>
      <c r="C759" s="2">
        <v>46042</v>
      </c>
      <c r="D759">
        <v>418.1</v>
      </c>
      <c r="E759">
        <v>80</v>
      </c>
      <c r="F759">
        <v>2</v>
      </c>
      <c r="G759">
        <v>1</v>
      </c>
      <c r="H759">
        <v>31.8</v>
      </c>
      <c r="I759">
        <v>92.1</v>
      </c>
    </row>
    <row r="760" spans="1:9" x14ac:dyDescent="0.35">
      <c r="A760" t="s">
        <v>31</v>
      </c>
      <c r="B760" t="s">
        <v>32</v>
      </c>
      <c r="C760" s="2">
        <v>46027</v>
      </c>
      <c r="D760">
        <v>237.5</v>
      </c>
      <c r="E760">
        <v>61.5</v>
      </c>
      <c r="F760">
        <v>3.7</v>
      </c>
      <c r="G760">
        <v>2</v>
      </c>
      <c r="H760">
        <v>50.4</v>
      </c>
      <c r="I760">
        <v>88.6</v>
      </c>
    </row>
    <row r="761" spans="1:9" x14ac:dyDescent="0.35">
      <c r="A761" t="s">
        <v>13</v>
      </c>
      <c r="B761" t="s">
        <v>14</v>
      </c>
      <c r="C761" s="2">
        <v>46024</v>
      </c>
      <c r="D761">
        <v>336.5</v>
      </c>
      <c r="E761">
        <v>86.3</v>
      </c>
      <c r="F761">
        <v>1.1000000000000001</v>
      </c>
      <c r="G761">
        <v>6</v>
      </c>
      <c r="H761">
        <v>43.3</v>
      </c>
      <c r="I761">
        <v>94.7</v>
      </c>
    </row>
    <row r="762" spans="1:9" x14ac:dyDescent="0.35">
      <c r="A762" t="s">
        <v>11</v>
      </c>
      <c r="B762" t="s">
        <v>12</v>
      </c>
      <c r="C762" s="2">
        <v>46025</v>
      </c>
      <c r="D762">
        <v>257.5</v>
      </c>
      <c r="E762">
        <v>71.099999999999994</v>
      </c>
      <c r="F762">
        <v>3.2</v>
      </c>
      <c r="G762">
        <v>1</v>
      </c>
      <c r="H762">
        <v>73.900000000000006</v>
      </c>
      <c r="I762">
        <v>92</v>
      </c>
    </row>
    <row r="763" spans="1:9" x14ac:dyDescent="0.35">
      <c r="A763" t="s">
        <v>25</v>
      </c>
      <c r="B763" t="s">
        <v>26</v>
      </c>
      <c r="C763" s="2">
        <v>46074</v>
      </c>
      <c r="D763">
        <v>148.4</v>
      </c>
      <c r="E763">
        <v>28.8</v>
      </c>
      <c r="F763">
        <v>2.9</v>
      </c>
      <c r="G763">
        <v>1</v>
      </c>
      <c r="H763">
        <v>68.7</v>
      </c>
      <c r="I763">
        <v>86.1</v>
      </c>
    </row>
    <row r="764" spans="1:9" x14ac:dyDescent="0.35">
      <c r="A764" t="s">
        <v>23</v>
      </c>
      <c r="B764" t="s">
        <v>24</v>
      </c>
      <c r="C764" s="2">
        <v>46090</v>
      </c>
      <c r="D764">
        <v>92.1</v>
      </c>
      <c r="E764">
        <v>23.3</v>
      </c>
      <c r="F764">
        <v>1.4</v>
      </c>
      <c r="G764">
        <v>4</v>
      </c>
      <c r="H764">
        <v>65.400000000000006</v>
      </c>
      <c r="I764">
        <v>86.2</v>
      </c>
    </row>
    <row r="765" spans="1:9" x14ac:dyDescent="0.35">
      <c r="A765" t="s">
        <v>23</v>
      </c>
      <c r="B765" t="s">
        <v>24</v>
      </c>
      <c r="C765" s="2">
        <v>46030</v>
      </c>
      <c r="D765">
        <v>270.5</v>
      </c>
      <c r="E765">
        <v>51.5</v>
      </c>
      <c r="F765">
        <v>1.8</v>
      </c>
      <c r="G765">
        <v>1</v>
      </c>
      <c r="H765">
        <v>35</v>
      </c>
      <c r="I765">
        <v>90.5</v>
      </c>
    </row>
    <row r="766" spans="1:9" x14ac:dyDescent="0.35">
      <c r="A766" t="s">
        <v>45</v>
      </c>
      <c r="B766" t="s">
        <v>46</v>
      </c>
      <c r="C766" s="2">
        <v>46028</v>
      </c>
      <c r="D766">
        <v>215.3</v>
      </c>
      <c r="E766">
        <v>65.8</v>
      </c>
      <c r="F766">
        <v>2.6</v>
      </c>
      <c r="G766">
        <v>2</v>
      </c>
      <c r="H766">
        <v>55.2</v>
      </c>
      <c r="I766">
        <v>96.6</v>
      </c>
    </row>
    <row r="767" spans="1:9" x14ac:dyDescent="0.35">
      <c r="A767" t="s">
        <v>25</v>
      </c>
      <c r="B767" t="s">
        <v>26</v>
      </c>
      <c r="C767" s="2">
        <v>46065</v>
      </c>
      <c r="D767">
        <v>168.3</v>
      </c>
      <c r="E767">
        <v>54.2</v>
      </c>
      <c r="F767">
        <v>2.2999999999999998</v>
      </c>
      <c r="G767">
        <v>4</v>
      </c>
      <c r="H767">
        <v>63.9</v>
      </c>
      <c r="I767">
        <v>96.4</v>
      </c>
    </row>
    <row r="768" spans="1:9" x14ac:dyDescent="0.35">
      <c r="A768" t="s">
        <v>23</v>
      </c>
      <c r="B768" t="s">
        <v>24</v>
      </c>
      <c r="C768" s="2">
        <v>46068</v>
      </c>
      <c r="D768">
        <v>412.2</v>
      </c>
      <c r="E768">
        <v>99.1</v>
      </c>
      <c r="F768">
        <v>2</v>
      </c>
      <c r="G768">
        <v>1</v>
      </c>
      <c r="H768">
        <v>32.9</v>
      </c>
      <c r="I768">
        <v>90.2</v>
      </c>
    </row>
    <row r="769" spans="1:9" x14ac:dyDescent="0.35">
      <c r="A769" t="s">
        <v>43</v>
      </c>
      <c r="B769" t="s">
        <v>44</v>
      </c>
      <c r="C769" s="2">
        <v>46087</v>
      </c>
      <c r="D769">
        <v>274.89999999999998</v>
      </c>
      <c r="E769">
        <v>87.8</v>
      </c>
      <c r="F769">
        <v>3.3</v>
      </c>
      <c r="G769">
        <v>5</v>
      </c>
      <c r="H769">
        <v>50.3</v>
      </c>
      <c r="I769">
        <v>90.5</v>
      </c>
    </row>
    <row r="770" spans="1:9" x14ac:dyDescent="0.35">
      <c r="A770" t="s">
        <v>11</v>
      </c>
      <c r="B770" t="s">
        <v>12</v>
      </c>
      <c r="C770" s="2">
        <v>46047</v>
      </c>
      <c r="D770">
        <v>410</v>
      </c>
      <c r="E770">
        <v>101.6</v>
      </c>
      <c r="F770">
        <v>0.5</v>
      </c>
      <c r="G770">
        <v>3</v>
      </c>
      <c r="H770">
        <v>43</v>
      </c>
      <c r="I770">
        <v>99.3</v>
      </c>
    </row>
    <row r="771" spans="1:9" x14ac:dyDescent="0.35">
      <c r="A771" t="s">
        <v>9</v>
      </c>
      <c r="B771" t="s">
        <v>10</v>
      </c>
      <c r="C771" s="2">
        <v>46044</v>
      </c>
      <c r="D771">
        <v>182.1</v>
      </c>
      <c r="E771">
        <v>38.9</v>
      </c>
      <c r="F771">
        <v>2.2999999999999998</v>
      </c>
      <c r="G771">
        <v>4</v>
      </c>
      <c r="H771">
        <v>53.4</v>
      </c>
      <c r="I771">
        <v>94.4</v>
      </c>
    </row>
    <row r="772" spans="1:9" x14ac:dyDescent="0.35">
      <c r="A772" t="s">
        <v>29</v>
      </c>
      <c r="B772" t="s">
        <v>30</v>
      </c>
      <c r="C772" s="2">
        <v>46076</v>
      </c>
      <c r="D772">
        <v>438.7</v>
      </c>
      <c r="E772">
        <v>102.9</v>
      </c>
      <c r="F772">
        <v>0.8</v>
      </c>
      <c r="G772">
        <v>6</v>
      </c>
      <c r="H772">
        <v>48.9</v>
      </c>
      <c r="I772">
        <v>96.1</v>
      </c>
    </row>
    <row r="773" spans="1:9" x14ac:dyDescent="0.35">
      <c r="A773" t="s">
        <v>27</v>
      </c>
      <c r="B773" t="s">
        <v>28</v>
      </c>
      <c r="C773" s="2">
        <v>46060</v>
      </c>
      <c r="D773">
        <v>150</v>
      </c>
      <c r="E773">
        <v>52.5</v>
      </c>
      <c r="F773">
        <v>3.6</v>
      </c>
      <c r="G773">
        <v>6</v>
      </c>
      <c r="H773">
        <v>48.5</v>
      </c>
      <c r="I773">
        <v>90.1</v>
      </c>
    </row>
    <row r="774" spans="1:9" x14ac:dyDescent="0.35">
      <c r="A774" t="s">
        <v>23</v>
      </c>
      <c r="B774" t="s">
        <v>24</v>
      </c>
      <c r="C774" s="2">
        <v>46085</v>
      </c>
      <c r="D774">
        <v>299.5</v>
      </c>
      <c r="E774">
        <v>64</v>
      </c>
      <c r="F774">
        <v>3.8</v>
      </c>
      <c r="G774">
        <v>8</v>
      </c>
      <c r="H774">
        <v>50.6</v>
      </c>
      <c r="I774">
        <v>93.5</v>
      </c>
    </row>
    <row r="775" spans="1:9" x14ac:dyDescent="0.35">
      <c r="A775" t="s">
        <v>29</v>
      </c>
      <c r="B775" t="s">
        <v>30</v>
      </c>
      <c r="C775" s="2">
        <v>46044</v>
      </c>
      <c r="D775">
        <v>372</v>
      </c>
      <c r="E775">
        <v>109</v>
      </c>
      <c r="F775">
        <v>1.8</v>
      </c>
      <c r="G775">
        <v>5</v>
      </c>
      <c r="H775">
        <v>64.599999999999994</v>
      </c>
      <c r="I775">
        <v>85.7</v>
      </c>
    </row>
    <row r="776" spans="1:9" x14ac:dyDescent="0.35">
      <c r="A776" t="s">
        <v>17</v>
      </c>
      <c r="B776" t="s">
        <v>18</v>
      </c>
      <c r="C776" s="2">
        <v>46059</v>
      </c>
      <c r="D776">
        <v>248.7</v>
      </c>
      <c r="E776">
        <v>76.5</v>
      </c>
      <c r="F776">
        <v>4.2</v>
      </c>
      <c r="G776">
        <v>5</v>
      </c>
      <c r="H776">
        <v>38.200000000000003</v>
      </c>
      <c r="I776">
        <v>87.6</v>
      </c>
    </row>
    <row r="777" spans="1:9" x14ac:dyDescent="0.35">
      <c r="A777" t="s">
        <v>25</v>
      </c>
      <c r="B777" t="s">
        <v>26</v>
      </c>
      <c r="C777" s="2">
        <v>46043</v>
      </c>
      <c r="D777">
        <v>168</v>
      </c>
      <c r="E777">
        <v>57.7</v>
      </c>
      <c r="F777">
        <v>1.6</v>
      </c>
      <c r="G777">
        <v>3</v>
      </c>
      <c r="H777">
        <v>49.8</v>
      </c>
      <c r="I777">
        <v>90.5</v>
      </c>
    </row>
    <row r="778" spans="1:9" x14ac:dyDescent="0.35">
      <c r="A778" t="s">
        <v>33</v>
      </c>
      <c r="B778" t="s">
        <v>34</v>
      </c>
      <c r="C778" s="2">
        <v>46094</v>
      </c>
      <c r="D778">
        <v>341.6</v>
      </c>
      <c r="E778">
        <v>74.3</v>
      </c>
      <c r="F778">
        <v>4.4000000000000004</v>
      </c>
      <c r="G778">
        <v>3</v>
      </c>
      <c r="H778">
        <v>46.8</v>
      </c>
      <c r="I778">
        <v>93.1</v>
      </c>
    </row>
    <row r="779" spans="1:9" x14ac:dyDescent="0.35">
      <c r="A779" t="s">
        <v>37</v>
      </c>
      <c r="B779" t="s">
        <v>38</v>
      </c>
      <c r="C779" s="2">
        <v>46091</v>
      </c>
      <c r="D779">
        <v>191.6</v>
      </c>
      <c r="E779">
        <v>36.299999999999997</v>
      </c>
      <c r="F779">
        <v>1.9</v>
      </c>
      <c r="G779">
        <v>8</v>
      </c>
      <c r="H779">
        <v>64.599999999999994</v>
      </c>
      <c r="I779">
        <v>99.2</v>
      </c>
    </row>
    <row r="780" spans="1:9" x14ac:dyDescent="0.35">
      <c r="A780" t="s">
        <v>23</v>
      </c>
      <c r="B780" t="s">
        <v>24</v>
      </c>
      <c r="C780" s="2">
        <v>46042</v>
      </c>
      <c r="D780">
        <v>81.599999999999994</v>
      </c>
      <c r="E780">
        <v>17</v>
      </c>
      <c r="F780">
        <v>4.4000000000000004</v>
      </c>
      <c r="G780">
        <v>6</v>
      </c>
      <c r="H780">
        <v>59.1</v>
      </c>
      <c r="I780">
        <v>89.4</v>
      </c>
    </row>
    <row r="781" spans="1:9" x14ac:dyDescent="0.35">
      <c r="A781" t="s">
        <v>29</v>
      </c>
      <c r="B781" t="s">
        <v>30</v>
      </c>
      <c r="C781" s="2">
        <v>46096</v>
      </c>
      <c r="D781">
        <v>326.7</v>
      </c>
      <c r="E781">
        <v>65.900000000000006</v>
      </c>
      <c r="F781">
        <v>3.3</v>
      </c>
      <c r="G781">
        <v>8</v>
      </c>
      <c r="H781">
        <v>45.2</v>
      </c>
      <c r="I781">
        <v>86.7</v>
      </c>
    </row>
    <row r="782" spans="1:9" x14ac:dyDescent="0.35">
      <c r="A782" t="s">
        <v>43</v>
      </c>
      <c r="B782" t="s">
        <v>44</v>
      </c>
      <c r="C782" s="2">
        <v>46028</v>
      </c>
      <c r="D782">
        <v>131.6</v>
      </c>
      <c r="E782">
        <v>30.7</v>
      </c>
      <c r="F782">
        <v>1.5</v>
      </c>
      <c r="G782">
        <v>7</v>
      </c>
      <c r="H782">
        <v>57.8</v>
      </c>
      <c r="I782">
        <v>88.3</v>
      </c>
    </row>
    <row r="783" spans="1:9" x14ac:dyDescent="0.35">
      <c r="A783" t="s">
        <v>17</v>
      </c>
      <c r="B783" t="s">
        <v>18</v>
      </c>
      <c r="C783" s="2">
        <v>46034</v>
      </c>
      <c r="D783">
        <v>200.8</v>
      </c>
      <c r="E783">
        <v>45.2</v>
      </c>
      <c r="F783">
        <v>1</v>
      </c>
      <c r="G783">
        <v>4</v>
      </c>
      <c r="H783">
        <v>65.2</v>
      </c>
      <c r="I783">
        <v>92</v>
      </c>
    </row>
    <row r="784" spans="1:9" x14ac:dyDescent="0.35">
      <c r="A784" t="s">
        <v>33</v>
      </c>
      <c r="B784" t="s">
        <v>34</v>
      </c>
      <c r="C784" s="2">
        <v>46025</v>
      </c>
      <c r="D784">
        <v>110.9</v>
      </c>
      <c r="E784">
        <v>21.8</v>
      </c>
      <c r="F784">
        <v>3.1</v>
      </c>
      <c r="G784">
        <v>2</v>
      </c>
      <c r="H784">
        <v>73.900000000000006</v>
      </c>
      <c r="I784">
        <v>90.9</v>
      </c>
    </row>
    <row r="785" spans="1:9" x14ac:dyDescent="0.35">
      <c r="A785" t="s">
        <v>43</v>
      </c>
      <c r="B785" t="s">
        <v>44</v>
      </c>
      <c r="C785" s="2">
        <v>46063</v>
      </c>
      <c r="D785">
        <v>303.2</v>
      </c>
      <c r="E785">
        <v>72.5</v>
      </c>
      <c r="F785">
        <v>0.4</v>
      </c>
      <c r="G785">
        <v>6</v>
      </c>
      <c r="H785">
        <v>47.9</v>
      </c>
      <c r="I785">
        <v>95.7</v>
      </c>
    </row>
    <row r="786" spans="1:9" x14ac:dyDescent="0.35">
      <c r="A786" t="s">
        <v>15</v>
      </c>
      <c r="B786" t="s">
        <v>16</v>
      </c>
      <c r="C786" s="2">
        <v>46070</v>
      </c>
      <c r="D786">
        <v>222.9</v>
      </c>
      <c r="E786">
        <v>78.7</v>
      </c>
      <c r="F786">
        <v>1.7</v>
      </c>
      <c r="G786">
        <v>5</v>
      </c>
      <c r="H786">
        <v>74</v>
      </c>
      <c r="I786">
        <v>98.1</v>
      </c>
    </row>
    <row r="787" spans="1:9" x14ac:dyDescent="0.35">
      <c r="A787" t="s">
        <v>11</v>
      </c>
      <c r="B787" t="s">
        <v>12</v>
      </c>
      <c r="C787" s="2">
        <v>46050</v>
      </c>
      <c r="D787">
        <v>349.3</v>
      </c>
      <c r="E787">
        <v>87.3</v>
      </c>
      <c r="F787">
        <v>4.5</v>
      </c>
      <c r="G787">
        <v>8</v>
      </c>
      <c r="H787">
        <v>43</v>
      </c>
      <c r="I787">
        <v>97.1</v>
      </c>
    </row>
    <row r="788" spans="1:9" x14ac:dyDescent="0.35">
      <c r="A788" t="s">
        <v>15</v>
      </c>
      <c r="B788" t="s">
        <v>16</v>
      </c>
      <c r="C788" s="2">
        <v>46076</v>
      </c>
      <c r="D788">
        <v>131.6</v>
      </c>
      <c r="E788">
        <v>30</v>
      </c>
      <c r="F788">
        <v>0.6</v>
      </c>
      <c r="G788">
        <v>4</v>
      </c>
      <c r="H788">
        <v>43.6</v>
      </c>
      <c r="I788">
        <v>99.8</v>
      </c>
    </row>
    <row r="789" spans="1:9" x14ac:dyDescent="0.35">
      <c r="A789" t="s">
        <v>31</v>
      </c>
      <c r="B789" t="s">
        <v>32</v>
      </c>
      <c r="C789" s="2">
        <v>46065</v>
      </c>
      <c r="D789">
        <v>104.5</v>
      </c>
      <c r="E789">
        <v>19.399999999999999</v>
      </c>
      <c r="F789">
        <v>3.5</v>
      </c>
      <c r="G789">
        <v>2</v>
      </c>
      <c r="H789">
        <v>30.3</v>
      </c>
      <c r="I789">
        <v>94.6</v>
      </c>
    </row>
    <row r="790" spans="1:9" x14ac:dyDescent="0.35">
      <c r="A790" t="s">
        <v>47</v>
      </c>
      <c r="B790" t="s">
        <v>48</v>
      </c>
      <c r="C790" s="2">
        <v>46076</v>
      </c>
      <c r="D790">
        <v>144.69999999999999</v>
      </c>
      <c r="E790">
        <v>35.700000000000003</v>
      </c>
      <c r="F790">
        <v>2.6</v>
      </c>
      <c r="G790">
        <v>3</v>
      </c>
      <c r="H790">
        <v>39</v>
      </c>
      <c r="I790">
        <v>97.5</v>
      </c>
    </row>
    <row r="791" spans="1:9" x14ac:dyDescent="0.35">
      <c r="A791" t="s">
        <v>29</v>
      </c>
      <c r="B791" t="s">
        <v>30</v>
      </c>
      <c r="C791" s="2">
        <v>46093</v>
      </c>
      <c r="D791">
        <v>261.5</v>
      </c>
      <c r="E791">
        <v>52.1</v>
      </c>
      <c r="F791">
        <v>1.5</v>
      </c>
      <c r="G791">
        <v>5</v>
      </c>
      <c r="H791">
        <v>52.2</v>
      </c>
      <c r="I791">
        <v>96.1</v>
      </c>
    </row>
    <row r="792" spans="1:9" x14ac:dyDescent="0.35">
      <c r="A792" t="s">
        <v>19</v>
      </c>
      <c r="B792" t="s">
        <v>20</v>
      </c>
      <c r="C792" s="2">
        <v>46026</v>
      </c>
      <c r="D792">
        <v>372.8</v>
      </c>
      <c r="E792">
        <v>115.9</v>
      </c>
      <c r="F792">
        <v>1.5</v>
      </c>
      <c r="G792">
        <v>8</v>
      </c>
      <c r="H792">
        <v>35.6</v>
      </c>
      <c r="I792">
        <v>95</v>
      </c>
    </row>
    <row r="793" spans="1:9" x14ac:dyDescent="0.35">
      <c r="A793" t="s">
        <v>29</v>
      </c>
      <c r="B793" t="s">
        <v>30</v>
      </c>
      <c r="C793" s="2">
        <v>46076</v>
      </c>
      <c r="D793">
        <v>146.4</v>
      </c>
      <c r="E793">
        <v>27.9</v>
      </c>
      <c r="F793">
        <v>3</v>
      </c>
      <c r="G793">
        <v>1</v>
      </c>
      <c r="H793">
        <v>35.4</v>
      </c>
      <c r="I793">
        <v>89.2</v>
      </c>
    </row>
    <row r="794" spans="1:9" x14ac:dyDescent="0.35">
      <c r="A794" t="s">
        <v>11</v>
      </c>
      <c r="B794" t="s">
        <v>12</v>
      </c>
      <c r="C794" s="2">
        <v>46099</v>
      </c>
      <c r="D794">
        <v>355.9</v>
      </c>
      <c r="E794">
        <v>81.5</v>
      </c>
      <c r="F794">
        <v>2.6</v>
      </c>
      <c r="G794">
        <v>5</v>
      </c>
      <c r="H794">
        <v>58.3</v>
      </c>
      <c r="I794">
        <v>92.1</v>
      </c>
    </row>
    <row r="795" spans="1:9" x14ac:dyDescent="0.35">
      <c r="A795" t="s">
        <v>9</v>
      </c>
      <c r="B795" t="s">
        <v>10</v>
      </c>
      <c r="C795" s="2">
        <v>46070</v>
      </c>
      <c r="D795">
        <v>269.60000000000002</v>
      </c>
      <c r="E795">
        <v>61.9</v>
      </c>
      <c r="F795">
        <v>3.8</v>
      </c>
      <c r="G795">
        <v>3</v>
      </c>
      <c r="H795">
        <v>56.2</v>
      </c>
      <c r="I795">
        <v>87.2</v>
      </c>
    </row>
    <row r="796" spans="1:9" x14ac:dyDescent="0.35">
      <c r="A796" t="s">
        <v>35</v>
      </c>
      <c r="B796" t="s">
        <v>36</v>
      </c>
      <c r="C796" s="2">
        <v>46111</v>
      </c>
      <c r="D796">
        <v>130.1</v>
      </c>
      <c r="E796">
        <v>40.1</v>
      </c>
      <c r="F796">
        <v>1.4</v>
      </c>
      <c r="G796">
        <v>7</v>
      </c>
      <c r="H796">
        <v>58.6</v>
      </c>
      <c r="I796">
        <v>99.3</v>
      </c>
    </row>
    <row r="797" spans="1:9" x14ac:dyDescent="0.35">
      <c r="A797" t="s">
        <v>21</v>
      </c>
      <c r="B797" t="s">
        <v>22</v>
      </c>
      <c r="C797" s="2">
        <v>46060</v>
      </c>
      <c r="D797">
        <v>187.9</v>
      </c>
      <c r="E797">
        <v>41.5</v>
      </c>
      <c r="F797">
        <v>0.5</v>
      </c>
      <c r="G797">
        <v>4</v>
      </c>
      <c r="H797">
        <v>64.5</v>
      </c>
      <c r="I797">
        <v>87.7</v>
      </c>
    </row>
    <row r="798" spans="1:9" x14ac:dyDescent="0.35">
      <c r="A798" t="s">
        <v>9</v>
      </c>
      <c r="B798" t="s">
        <v>10</v>
      </c>
      <c r="C798" s="2">
        <v>46099</v>
      </c>
      <c r="D798">
        <v>358.5</v>
      </c>
      <c r="E798">
        <v>84</v>
      </c>
      <c r="F798">
        <v>4</v>
      </c>
      <c r="G798">
        <v>5</v>
      </c>
      <c r="H798">
        <v>42.2</v>
      </c>
      <c r="I798">
        <v>95.5</v>
      </c>
    </row>
    <row r="799" spans="1:9" x14ac:dyDescent="0.35">
      <c r="A799" t="s">
        <v>17</v>
      </c>
      <c r="B799" t="s">
        <v>18</v>
      </c>
      <c r="C799" s="2">
        <v>46035</v>
      </c>
      <c r="D799">
        <v>277.7</v>
      </c>
      <c r="E799">
        <v>74.099999999999994</v>
      </c>
      <c r="F799">
        <v>0.8</v>
      </c>
      <c r="G799">
        <v>3</v>
      </c>
      <c r="H799">
        <v>53.3</v>
      </c>
      <c r="I799">
        <v>90.6</v>
      </c>
    </row>
    <row r="800" spans="1:9" x14ac:dyDescent="0.35">
      <c r="A800" t="s">
        <v>43</v>
      </c>
      <c r="B800" t="s">
        <v>44</v>
      </c>
      <c r="C800" s="2">
        <v>46075</v>
      </c>
      <c r="D800">
        <v>205.9</v>
      </c>
      <c r="E800">
        <v>39.200000000000003</v>
      </c>
      <c r="F800">
        <v>0.6</v>
      </c>
      <c r="G800">
        <v>3</v>
      </c>
      <c r="H800">
        <v>52.7</v>
      </c>
      <c r="I800">
        <v>97.5</v>
      </c>
    </row>
    <row r="801" spans="1:9" x14ac:dyDescent="0.35">
      <c r="A801" t="s">
        <v>13</v>
      </c>
      <c r="B801" t="s">
        <v>14</v>
      </c>
      <c r="C801" s="2">
        <v>46101</v>
      </c>
      <c r="D801">
        <v>335.2</v>
      </c>
      <c r="E801">
        <v>62.4</v>
      </c>
      <c r="F801">
        <v>3.8</v>
      </c>
      <c r="G801">
        <v>2</v>
      </c>
      <c r="H801">
        <v>48.8</v>
      </c>
      <c r="I801">
        <v>98.7</v>
      </c>
    </row>
    <row r="802" spans="1:9" x14ac:dyDescent="0.35">
      <c r="A802" t="s">
        <v>27</v>
      </c>
      <c r="B802" t="s">
        <v>28</v>
      </c>
      <c r="C802" s="2">
        <v>46023</v>
      </c>
      <c r="D802">
        <v>250</v>
      </c>
      <c r="E802">
        <v>120</v>
      </c>
      <c r="F802">
        <v>1.5</v>
      </c>
      <c r="G802">
        <v>4</v>
      </c>
      <c r="H802">
        <v>55</v>
      </c>
      <c r="I802">
        <v>96</v>
      </c>
    </row>
    <row r="803" spans="1:9" x14ac:dyDescent="0.35">
      <c r="A803" t="s">
        <v>21</v>
      </c>
      <c r="B803" t="s">
        <v>22</v>
      </c>
      <c r="C803" s="2">
        <v>46024</v>
      </c>
      <c r="D803">
        <v>150</v>
      </c>
      <c r="E803">
        <v>25</v>
      </c>
      <c r="F803">
        <v>12</v>
      </c>
      <c r="G803">
        <v>3</v>
      </c>
      <c r="H803">
        <v>20</v>
      </c>
      <c r="I803">
        <v>92</v>
      </c>
    </row>
    <row r="804" spans="1:9" x14ac:dyDescent="0.35">
      <c r="A804" t="s">
        <v>11</v>
      </c>
      <c r="B804" t="s">
        <v>12</v>
      </c>
      <c r="C804" s="2">
        <v>46025</v>
      </c>
      <c r="D804">
        <v>400</v>
      </c>
      <c r="E804">
        <v>15</v>
      </c>
      <c r="F804">
        <v>1</v>
      </c>
      <c r="G804">
        <v>5</v>
      </c>
      <c r="H804">
        <v>60</v>
      </c>
      <c r="I804">
        <v>98</v>
      </c>
    </row>
    <row r="805" spans="1:9" x14ac:dyDescent="0.35">
      <c r="A805" t="s">
        <v>9</v>
      </c>
      <c r="B805" t="s">
        <v>10</v>
      </c>
      <c r="C805" s="2">
        <v>46026</v>
      </c>
      <c r="D805">
        <v>220</v>
      </c>
      <c r="E805">
        <v>55</v>
      </c>
      <c r="F805">
        <v>2</v>
      </c>
      <c r="G805">
        <v>4</v>
      </c>
      <c r="H805">
        <v>50</v>
      </c>
      <c r="I805">
        <v>40</v>
      </c>
    </row>
  </sheetData>
  <autoFilter ref="A1:I80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4"/>
  <sheetViews>
    <sheetView topLeftCell="A282" workbookViewId="0">
      <selection activeCell="A304" sqref="A304"/>
    </sheetView>
  </sheetViews>
  <sheetFormatPr defaultRowHeight="14.5" x14ac:dyDescent="0.35"/>
  <cols>
    <col min="1" max="1" width="14.54296875" bestFit="1" customWidth="1"/>
    <col min="2" max="2" width="17.81640625" customWidth="1"/>
    <col min="3" max="3" width="17.1796875" bestFit="1" customWidth="1"/>
    <col min="4" max="4" width="14.54296875" bestFit="1" customWidth="1"/>
    <col min="5" max="5" width="13.1796875" bestFit="1" customWidth="1"/>
    <col min="6" max="6" width="8.7265625" style="24"/>
    <col min="7" max="7" width="10.7265625" bestFit="1" customWidth="1"/>
  </cols>
  <sheetData>
    <row r="1" spans="1:6" x14ac:dyDescent="0.3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23" t="s">
        <v>173</v>
      </c>
    </row>
    <row r="2" spans="1:6" x14ac:dyDescent="0.35">
      <c r="A2" t="s">
        <v>21</v>
      </c>
      <c r="B2" s="2">
        <v>46057.117361111108</v>
      </c>
      <c r="C2" t="s">
        <v>53</v>
      </c>
      <c r="D2">
        <v>19.7</v>
      </c>
      <c r="E2" t="s">
        <v>54</v>
      </c>
      <c r="F2" s="24">
        <f>HOUR(B2)</f>
        <v>2</v>
      </c>
    </row>
    <row r="3" spans="1:6" x14ac:dyDescent="0.35">
      <c r="A3" t="s">
        <v>39</v>
      </c>
      <c r="B3" s="2">
        <v>46091.722916666666</v>
      </c>
      <c r="C3" t="s">
        <v>55</v>
      </c>
      <c r="D3">
        <v>130.80000000000001</v>
      </c>
      <c r="E3" t="s">
        <v>56</v>
      </c>
      <c r="F3" s="24">
        <f t="shared" ref="F3:F66" si="0">HOUR(B3)</f>
        <v>17</v>
      </c>
    </row>
    <row r="4" spans="1:6" x14ac:dyDescent="0.35">
      <c r="A4" t="s">
        <v>25</v>
      </c>
      <c r="B4" s="2">
        <v>46066.722916666666</v>
      </c>
      <c r="C4" t="s">
        <v>57</v>
      </c>
      <c r="D4">
        <v>14</v>
      </c>
      <c r="E4" t="s">
        <v>58</v>
      </c>
      <c r="F4" s="24">
        <f t="shared" si="0"/>
        <v>17</v>
      </c>
    </row>
    <row r="5" spans="1:6" x14ac:dyDescent="0.35">
      <c r="A5" t="s">
        <v>11</v>
      </c>
      <c r="B5" s="2">
        <v>46099.50277777778</v>
      </c>
      <c r="C5" t="s">
        <v>59</v>
      </c>
      <c r="D5">
        <v>61</v>
      </c>
      <c r="E5" t="s">
        <v>58</v>
      </c>
      <c r="F5" s="24">
        <f t="shared" si="0"/>
        <v>12</v>
      </c>
    </row>
    <row r="6" spans="1:6" x14ac:dyDescent="0.35">
      <c r="A6" t="s">
        <v>9</v>
      </c>
      <c r="B6" s="2">
        <v>46028.112500000003</v>
      </c>
      <c r="C6" t="s">
        <v>57</v>
      </c>
      <c r="D6">
        <v>11.9</v>
      </c>
      <c r="E6" t="s">
        <v>54</v>
      </c>
      <c r="F6" s="24">
        <f t="shared" si="0"/>
        <v>2</v>
      </c>
    </row>
    <row r="7" spans="1:6" x14ac:dyDescent="0.35">
      <c r="A7" t="s">
        <v>29</v>
      </c>
      <c r="B7" s="2">
        <v>46078.770833333336</v>
      </c>
      <c r="C7" t="s">
        <v>55</v>
      </c>
      <c r="D7">
        <v>81</v>
      </c>
      <c r="E7" t="s">
        <v>54</v>
      </c>
      <c r="F7" s="24">
        <f t="shared" si="0"/>
        <v>18</v>
      </c>
    </row>
    <row r="8" spans="1:6" x14ac:dyDescent="0.35">
      <c r="A8" t="s">
        <v>29</v>
      </c>
      <c r="B8" s="2">
        <v>46066.70208333333</v>
      </c>
      <c r="C8" t="s">
        <v>53</v>
      </c>
      <c r="D8">
        <v>16.399999999999999</v>
      </c>
      <c r="E8" t="s">
        <v>60</v>
      </c>
      <c r="F8" s="24">
        <f t="shared" si="0"/>
        <v>16</v>
      </c>
    </row>
    <row r="9" spans="1:6" x14ac:dyDescent="0.35">
      <c r="A9" t="s">
        <v>31</v>
      </c>
      <c r="B9" s="2">
        <v>46095.416666666664</v>
      </c>
      <c r="C9" t="s">
        <v>53</v>
      </c>
      <c r="D9">
        <v>54.1</v>
      </c>
      <c r="E9" t="s">
        <v>61</v>
      </c>
      <c r="F9" s="24">
        <f t="shared" si="0"/>
        <v>10</v>
      </c>
    </row>
    <row r="10" spans="1:6" x14ac:dyDescent="0.35">
      <c r="A10" t="s">
        <v>31</v>
      </c>
      <c r="B10" s="2">
        <v>46078.898611111108</v>
      </c>
      <c r="C10" t="s">
        <v>53</v>
      </c>
      <c r="D10">
        <v>33.6</v>
      </c>
      <c r="E10" t="s">
        <v>58</v>
      </c>
      <c r="F10" s="24">
        <f t="shared" si="0"/>
        <v>21</v>
      </c>
    </row>
    <row r="11" spans="1:6" x14ac:dyDescent="0.35">
      <c r="A11" t="s">
        <v>17</v>
      </c>
      <c r="B11" s="2">
        <v>46088.07916666667</v>
      </c>
      <c r="C11" t="s">
        <v>57</v>
      </c>
      <c r="D11">
        <v>44.9</v>
      </c>
      <c r="E11" t="s">
        <v>54</v>
      </c>
      <c r="F11" s="24">
        <f t="shared" si="0"/>
        <v>1</v>
      </c>
    </row>
    <row r="12" spans="1:6" x14ac:dyDescent="0.35">
      <c r="A12" t="s">
        <v>43</v>
      </c>
      <c r="B12" s="2">
        <v>46107.340277777781</v>
      </c>
      <c r="C12" t="s">
        <v>55</v>
      </c>
      <c r="D12">
        <v>63.8</v>
      </c>
      <c r="E12" t="s">
        <v>58</v>
      </c>
      <c r="F12" s="24">
        <f t="shared" si="0"/>
        <v>8</v>
      </c>
    </row>
    <row r="13" spans="1:6" x14ac:dyDescent="0.35">
      <c r="A13" t="s">
        <v>11</v>
      </c>
      <c r="B13" s="2">
        <v>46081.525000000001</v>
      </c>
      <c r="C13" t="s">
        <v>55</v>
      </c>
      <c r="D13">
        <v>22.1</v>
      </c>
      <c r="E13" t="s">
        <v>60</v>
      </c>
      <c r="F13" s="24">
        <f t="shared" si="0"/>
        <v>12</v>
      </c>
    </row>
    <row r="14" spans="1:6" x14ac:dyDescent="0.35">
      <c r="A14" t="s">
        <v>11</v>
      </c>
      <c r="B14" s="2">
        <v>46103.458333333336</v>
      </c>
      <c r="C14" t="s">
        <v>55</v>
      </c>
      <c r="D14">
        <v>149.69999999999999</v>
      </c>
      <c r="E14" t="s">
        <v>58</v>
      </c>
      <c r="F14" s="24">
        <f t="shared" si="0"/>
        <v>11</v>
      </c>
    </row>
    <row r="15" spans="1:6" x14ac:dyDescent="0.35">
      <c r="A15" t="s">
        <v>13</v>
      </c>
      <c r="B15" s="2">
        <v>46087.994444444441</v>
      </c>
      <c r="C15" t="s">
        <v>59</v>
      </c>
      <c r="D15">
        <v>103</v>
      </c>
      <c r="E15" t="s">
        <v>58</v>
      </c>
      <c r="F15" s="24">
        <f t="shared" si="0"/>
        <v>23</v>
      </c>
    </row>
    <row r="16" spans="1:6" x14ac:dyDescent="0.35">
      <c r="A16" t="s">
        <v>19</v>
      </c>
      <c r="B16" s="2">
        <v>46092.632638888892</v>
      </c>
      <c r="C16" t="s">
        <v>57</v>
      </c>
      <c r="D16">
        <v>59.6</v>
      </c>
      <c r="E16" t="s">
        <v>58</v>
      </c>
      <c r="F16" s="24">
        <f t="shared" si="0"/>
        <v>15</v>
      </c>
    </row>
    <row r="17" spans="1:6" x14ac:dyDescent="0.35">
      <c r="A17" t="s">
        <v>39</v>
      </c>
      <c r="B17" s="2">
        <v>46082.041666666664</v>
      </c>
      <c r="C17" t="s">
        <v>57</v>
      </c>
      <c r="D17">
        <v>30.1</v>
      </c>
      <c r="E17" t="s">
        <v>54</v>
      </c>
      <c r="F17" s="24">
        <f t="shared" si="0"/>
        <v>1</v>
      </c>
    </row>
    <row r="18" spans="1:6" x14ac:dyDescent="0.35">
      <c r="A18" t="s">
        <v>47</v>
      </c>
      <c r="B18" s="2">
        <v>46068.886805555558</v>
      </c>
      <c r="C18" t="s">
        <v>53</v>
      </c>
      <c r="D18">
        <v>39.9</v>
      </c>
      <c r="E18" t="s">
        <v>54</v>
      </c>
      <c r="F18" s="24">
        <f t="shared" si="0"/>
        <v>21</v>
      </c>
    </row>
    <row r="19" spans="1:6" x14ac:dyDescent="0.35">
      <c r="A19" t="s">
        <v>9</v>
      </c>
      <c r="B19" s="2">
        <v>46102.105555555558</v>
      </c>
      <c r="C19" t="s">
        <v>55</v>
      </c>
      <c r="D19">
        <v>111.9</v>
      </c>
      <c r="E19" t="s">
        <v>54</v>
      </c>
      <c r="F19" s="24">
        <f t="shared" si="0"/>
        <v>2</v>
      </c>
    </row>
    <row r="20" spans="1:6" x14ac:dyDescent="0.35">
      <c r="A20" t="s">
        <v>15</v>
      </c>
      <c r="B20" s="2">
        <v>46024.724999999999</v>
      </c>
      <c r="C20" t="s">
        <v>59</v>
      </c>
      <c r="D20">
        <v>91.1</v>
      </c>
      <c r="E20" t="s">
        <v>61</v>
      </c>
      <c r="F20" s="24">
        <f t="shared" si="0"/>
        <v>17</v>
      </c>
    </row>
    <row r="21" spans="1:6" x14ac:dyDescent="0.35">
      <c r="A21" t="s">
        <v>39</v>
      </c>
      <c r="B21" s="2">
        <v>46026.427777777775</v>
      </c>
      <c r="C21" t="s">
        <v>53</v>
      </c>
      <c r="D21">
        <v>6.8</v>
      </c>
      <c r="E21" t="s">
        <v>60</v>
      </c>
      <c r="F21" s="24">
        <f t="shared" si="0"/>
        <v>10</v>
      </c>
    </row>
    <row r="22" spans="1:6" x14ac:dyDescent="0.35">
      <c r="A22" t="s">
        <v>23</v>
      </c>
      <c r="B22" s="2">
        <v>46076.459027777775</v>
      </c>
      <c r="C22" t="s">
        <v>57</v>
      </c>
      <c r="D22">
        <v>53.6</v>
      </c>
      <c r="E22" t="s">
        <v>58</v>
      </c>
      <c r="F22" s="24">
        <f t="shared" si="0"/>
        <v>11</v>
      </c>
    </row>
    <row r="23" spans="1:6" x14ac:dyDescent="0.35">
      <c r="A23" t="s">
        <v>11</v>
      </c>
      <c r="B23" s="2">
        <v>46109.182638888888</v>
      </c>
      <c r="C23" t="s">
        <v>57</v>
      </c>
      <c r="D23">
        <v>45.9</v>
      </c>
      <c r="E23" t="s">
        <v>61</v>
      </c>
      <c r="F23" s="24">
        <f t="shared" si="0"/>
        <v>4</v>
      </c>
    </row>
    <row r="24" spans="1:6" x14ac:dyDescent="0.35">
      <c r="A24" t="s">
        <v>21</v>
      </c>
      <c r="B24" s="2">
        <v>46089.523611111108</v>
      </c>
      <c r="C24" t="s">
        <v>55</v>
      </c>
      <c r="D24">
        <v>39</v>
      </c>
      <c r="E24" t="s">
        <v>61</v>
      </c>
      <c r="F24" s="24">
        <f t="shared" si="0"/>
        <v>12</v>
      </c>
    </row>
    <row r="25" spans="1:6" x14ac:dyDescent="0.35">
      <c r="A25" t="s">
        <v>29</v>
      </c>
      <c r="B25" s="2">
        <v>46072.463888888888</v>
      </c>
      <c r="C25" t="s">
        <v>55</v>
      </c>
      <c r="D25">
        <v>87.2</v>
      </c>
      <c r="E25" t="s">
        <v>61</v>
      </c>
      <c r="F25" s="24">
        <f t="shared" si="0"/>
        <v>11</v>
      </c>
    </row>
    <row r="26" spans="1:6" x14ac:dyDescent="0.35">
      <c r="A26" t="s">
        <v>37</v>
      </c>
      <c r="B26" s="2">
        <v>46098.518750000003</v>
      </c>
      <c r="C26" t="s">
        <v>59</v>
      </c>
      <c r="D26">
        <v>116.4</v>
      </c>
      <c r="E26" t="s">
        <v>58</v>
      </c>
      <c r="F26" s="24">
        <f t="shared" si="0"/>
        <v>12</v>
      </c>
    </row>
    <row r="27" spans="1:6" x14ac:dyDescent="0.35">
      <c r="A27" t="s">
        <v>27</v>
      </c>
      <c r="B27" s="2">
        <v>46067.621527777781</v>
      </c>
      <c r="C27" t="s">
        <v>53</v>
      </c>
      <c r="D27">
        <v>21.7</v>
      </c>
      <c r="E27" t="s">
        <v>54</v>
      </c>
      <c r="F27" s="24">
        <f t="shared" si="0"/>
        <v>14</v>
      </c>
    </row>
    <row r="28" spans="1:6" x14ac:dyDescent="0.35">
      <c r="A28" t="s">
        <v>37</v>
      </c>
      <c r="B28" s="2">
        <v>46089.454861111109</v>
      </c>
      <c r="C28" t="s">
        <v>57</v>
      </c>
      <c r="D28">
        <v>23.9</v>
      </c>
      <c r="E28" t="s">
        <v>54</v>
      </c>
      <c r="F28" s="24">
        <f t="shared" si="0"/>
        <v>10</v>
      </c>
    </row>
    <row r="29" spans="1:6" x14ac:dyDescent="0.35">
      <c r="A29" t="s">
        <v>13</v>
      </c>
      <c r="B29" s="2">
        <v>46070.331250000003</v>
      </c>
      <c r="C29" t="s">
        <v>55</v>
      </c>
      <c r="D29">
        <v>32.1</v>
      </c>
      <c r="E29" t="s">
        <v>60</v>
      </c>
      <c r="F29" s="24">
        <f t="shared" si="0"/>
        <v>7</v>
      </c>
    </row>
    <row r="30" spans="1:6" x14ac:dyDescent="0.35">
      <c r="A30" t="s">
        <v>19</v>
      </c>
      <c r="B30" s="2">
        <v>46049.427777777775</v>
      </c>
      <c r="C30" t="s">
        <v>53</v>
      </c>
      <c r="D30">
        <v>7.4</v>
      </c>
      <c r="E30" t="s">
        <v>60</v>
      </c>
      <c r="F30" s="24">
        <f t="shared" si="0"/>
        <v>10</v>
      </c>
    </row>
    <row r="31" spans="1:6" x14ac:dyDescent="0.35">
      <c r="A31" t="s">
        <v>11</v>
      </c>
      <c r="B31" s="2">
        <v>46048.675000000003</v>
      </c>
      <c r="C31" t="s">
        <v>59</v>
      </c>
      <c r="D31">
        <v>45.2</v>
      </c>
      <c r="E31" t="s">
        <v>60</v>
      </c>
      <c r="F31" s="24">
        <f t="shared" si="0"/>
        <v>16</v>
      </c>
    </row>
    <row r="32" spans="1:6" x14ac:dyDescent="0.35">
      <c r="A32" t="s">
        <v>19</v>
      </c>
      <c r="B32" s="2">
        <v>46033.805555555555</v>
      </c>
      <c r="C32" t="s">
        <v>59</v>
      </c>
      <c r="D32">
        <v>64.3</v>
      </c>
      <c r="E32" t="s">
        <v>60</v>
      </c>
      <c r="F32" s="24">
        <f t="shared" si="0"/>
        <v>19</v>
      </c>
    </row>
    <row r="33" spans="1:6" x14ac:dyDescent="0.35">
      <c r="A33" t="s">
        <v>25</v>
      </c>
      <c r="B33" s="2">
        <v>46091.201388888891</v>
      </c>
      <c r="C33" t="s">
        <v>53</v>
      </c>
      <c r="D33">
        <v>32.1</v>
      </c>
      <c r="E33" t="s">
        <v>58</v>
      </c>
      <c r="F33" s="24">
        <f t="shared" si="0"/>
        <v>4</v>
      </c>
    </row>
    <row r="34" spans="1:6" x14ac:dyDescent="0.35">
      <c r="A34" t="s">
        <v>27</v>
      </c>
      <c r="B34" s="2">
        <v>46055.953472222223</v>
      </c>
      <c r="C34" t="s">
        <v>53</v>
      </c>
      <c r="D34">
        <v>23.7</v>
      </c>
      <c r="E34" t="s">
        <v>56</v>
      </c>
      <c r="F34" s="24">
        <f t="shared" si="0"/>
        <v>22</v>
      </c>
    </row>
    <row r="35" spans="1:6" x14ac:dyDescent="0.35">
      <c r="A35" t="s">
        <v>31</v>
      </c>
      <c r="B35" s="2">
        <v>46039.819444444445</v>
      </c>
      <c r="C35" t="s">
        <v>59</v>
      </c>
      <c r="D35">
        <v>136.80000000000001</v>
      </c>
      <c r="E35" t="s">
        <v>60</v>
      </c>
      <c r="F35" s="24">
        <f t="shared" si="0"/>
        <v>19</v>
      </c>
    </row>
    <row r="36" spans="1:6" x14ac:dyDescent="0.35">
      <c r="A36" t="s">
        <v>45</v>
      </c>
      <c r="B36" s="2">
        <v>46086.447222222225</v>
      </c>
      <c r="C36" t="s">
        <v>59</v>
      </c>
      <c r="D36">
        <v>109.9</v>
      </c>
      <c r="E36" t="s">
        <v>62</v>
      </c>
      <c r="F36" s="24">
        <f t="shared" si="0"/>
        <v>10</v>
      </c>
    </row>
    <row r="37" spans="1:6" x14ac:dyDescent="0.35">
      <c r="A37" t="s">
        <v>35</v>
      </c>
      <c r="B37" s="2">
        <v>46069.912499999999</v>
      </c>
      <c r="C37" t="s">
        <v>53</v>
      </c>
      <c r="D37">
        <v>22.4</v>
      </c>
      <c r="E37" t="s">
        <v>56</v>
      </c>
      <c r="F37" s="24">
        <f t="shared" si="0"/>
        <v>21</v>
      </c>
    </row>
    <row r="38" spans="1:6" x14ac:dyDescent="0.35">
      <c r="A38" t="s">
        <v>35</v>
      </c>
      <c r="B38" s="2">
        <v>46066.286111111112</v>
      </c>
      <c r="C38" t="s">
        <v>57</v>
      </c>
      <c r="D38">
        <v>26</v>
      </c>
      <c r="E38" t="s">
        <v>54</v>
      </c>
      <c r="F38" s="24">
        <f t="shared" si="0"/>
        <v>6</v>
      </c>
    </row>
    <row r="39" spans="1:6" x14ac:dyDescent="0.35">
      <c r="A39" t="s">
        <v>15</v>
      </c>
      <c r="B39" s="2">
        <v>46071.677777777775</v>
      </c>
      <c r="C39" t="s">
        <v>57</v>
      </c>
      <c r="D39">
        <v>52.1</v>
      </c>
      <c r="E39" t="s">
        <v>58</v>
      </c>
      <c r="F39" s="24">
        <f t="shared" si="0"/>
        <v>16</v>
      </c>
    </row>
    <row r="40" spans="1:6" x14ac:dyDescent="0.35">
      <c r="A40" t="s">
        <v>17</v>
      </c>
      <c r="B40" s="2">
        <v>46031.379861111112</v>
      </c>
      <c r="C40" t="s">
        <v>55</v>
      </c>
      <c r="D40">
        <v>85.4</v>
      </c>
      <c r="E40" t="s">
        <v>60</v>
      </c>
      <c r="F40" s="24">
        <f t="shared" si="0"/>
        <v>9</v>
      </c>
    </row>
    <row r="41" spans="1:6" x14ac:dyDescent="0.35">
      <c r="A41" t="s">
        <v>23</v>
      </c>
      <c r="B41" s="2">
        <v>46030.502083333333</v>
      </c>
      <c r="C41" t="s">
        <v>53</v>
      </c>
      <c r="D41">
        <v>21.4</v>
      </c>
      <c r="E41" t="s">
        <v>58</v>
      </c>
      <c r="F41" s="24">
        <f t="shared" si="0"/>
        <v>12</v>
      </c>
    </row>
    <row r="42" spans="1:6" x14ac:dyDescent="0.35">
      <c r="A42" t="s">
        <v>41</v>
      </c>
      <c r="B42" s="2">
        <v>46064.320138888892</v>
      </c>
      <c r="C42" t="s">
        <v>53</v>
      </c>
      <c r="D42">
        <v>19.600000000000001</v>
      </c>
      <c r="E42" t="s">
        <v>58</v>
      </c>
      <c r="F42" s="24">
        <f t="shared" si="0"/>
        <v>7</v>
      </c>
    </row>
    <row r="43" spans="1:6" x14ac:dyDescent="0.35">
      <c r="A43" t="s">
        <v>41</v>
      </c>
      <c r="B43" s="2">
        <v>46096.46875</v>
      </c>
      <c r="C43" t="s">
        <v>53</v>
      </c>
      <c r="D43">
        <v>32.6</v>
      </c>
      <c r="E43" t="s">
        <v>62</v>
      </c>
      <c r="F43" s="24">
        <f t="shared" si="0"/>
        <v>11</v>
      </c>
    </row>
    <row r="44" spans="1:6" x14ac:dyDescent="0.35">
      <c r="A44" t="s">
        <v>23</v>
      </c>
      <c r="B44" s="2">
        <v>46029.213194444441</v>
      </c>
      <c r="C44" t="s">
        <v>59</v>
      </c>
      <c r="D44">
        <v>75.7</v>
      </c>
      <c r="E44" t="s">
        <v>58</v>
      </c>
      <c r="F44" s="24">
        <f t="shared" si="0"/>
        <v>5</v>
      </c>
    </row>
    <row r="45" spans="1:6" x14ac:dyDescent="0.35">
      <c r="A45" t="s">
        <v>25</v>
      </c>
      <c r="B45" s="2">
        <v>46084.709722222222</v>
      </c>
      <c r="C45" t="s">
        <v>53</v>
      </c>
      <c r="D45">
        <v>59.9</v>
      </c>
      <c r="E45" t="s">
        <v>56</v>
      </c>
      <c r="F45" s="24">
        <f t="shared" si="0"/>
        <v>17</v>
      </c>
    </row>
    <row r="46" spans="1:6" x14ac:dyDescent="0.35">
      <c r="A46" t="s">
        <v>23</v>
      </c>
      <c r="B46" s="2">
        <v>46070.318055555559</v>
      </c>
      <c r="C46" t="s">
        <v>59</v>
      </c>
      <c r="D46">
        <v>80.2</v>
      </c>
      <c r="E46" t="s">
        <v>60</v>
      </c>
      <c r="F46" s="24">
        <f t="shared" si="0"/>
        <v>7</v>
      </c>
    </row>
    <row r="47" spans="1:6" x14ac:dyDescent="0.35">
      <c r="A47" t="s">
        <v>29</v>
      </c>
      <c r="B47" s="2">
        <v>46097.013888888891</v>
      </c>
      <c r="C47" t="s">
        <v>53</v>
      </c>
      <c r="D47">
        <v>17.5</v>
      </c>
      <c r="E47" t="s">
        <v>54</v>
      </c>
      <c r="F47" s="24">
        <f t="shared" si="0"/>
        <v>0</v>
      </c>
    </row>
    <row r="48" spans="1:6" x14ac:dyDescent="0.35">
      <c r="A48" t="s">
        <v>47</v>
      </c>
      <c r="B48" s="2">
        <v>46059.226388888892</v>
      </c>
      <c r="C48" t="s">
        <v>55</v>
      </c>
      <c r="D48">
        <v>75.2</v>
      </c>
      <c r="E48" t="s">
        <v>60</v>
      </c>
      <c r="F48" s="24">
        <f t="shared" si="0"/>
        <v>5</v>
      </c>
    </row>
    <row r="49" spans="1:6" x14ac:dyDescent="0.35">
      <c r="A49" t="s">
        <v>27</v>
      </c>
      <c r="B49" s="2">
        <v>46086.881944444445</v>
      </c>
      <c r="C49" t="s">
        <v>57</v>
      </c>
      <c r="D49">
        <v>7.6</v>
      </c>
      <c r="E49" t="s">
        <v>60</v>
      </c>
      <c r="F49" s="24">
        <f t="shared" si="0"/>
        <v>21</v>
      </c>
    </row>
    <row r="50" spans="1:6" x14ac:dyDescent="0.35">
      <c r="A50" t="s">
        <v>37</v>
      </c>
      <c r="B50" s="2">
        <v>46090.263194444444</v>
      </c>
      <c r="C50" t="s">
        <v>53</v>
      </c>
      <c r="D50">
        <v>52.6</v>
      </c>
      <c r="E50" t="s">
        <v>58</v>
      </c>
      <c r="F50" s="24">
        <f t="shared" si="0"/>
        <v>6</v>
      </c>
    </row>
    <row r="51" spans="1:6" x14ac:dyDescent="0.35">
      <c r="A51" t="s">
        <v>19</v>
      </c>
      <c r="B51" s="2">
        <v>46059.670138888891</v>
      </c>
      <c r="C51" t="s">
        <v>59</v>
      </c>
      <c r="D51">
        <v>77.599999999999994</v>
      </c>
      <c r="E51" t="s">
        <v>60</v>
      </c>
      <c r="F51" s="24">
        <f t="shared" si="0"/>
        <v>16</v>
      </c>
    </row>
    <row r="52" spans="1:6" x14ac:dyDescent="0.35">
      <c r="A52" t="s">
        <v>13</v>
      </c>
      <c r="B52" s="2">
        <v>46058.272916666669</v>
      </c>
      <c r="C52" t="s">
        <v>59</v>
      </c>
      <c r="D52">
        <v>102.6</v>
      </c>
      <c r="E52" t="s">
        <v>58</v>
      </c>
      <c r="F52" s="24">
        <f t="shared" si="0"/>
        <v>6</v>
      </c>
    </row>
    <row r="53" spans="1:6" x14ac:dyDescent="0.35">
      <c r="A53" t="s">
        <v>15</v>
      </c>
      <c r="B53" s="2">
        <v>46080.127083333333</v>
      </c>
      <c r="C53" t="s">
        <v>53</v>
      </c>
      <c r="D53">
        <v>46.9</v>
      </c>
      <c r="E53" t="s">
        <v>58</v>
      </c>
      <c r="F53" s="24">
        <f t="shared" si="0"/>
        <v>3</v>
      </c>
    </row>
    <row r="54" spans="1:6" x14ac:dyDescent="0.35">
      <c r="A54" t="s">
        <v>31</v>
      </c>
      <c r="B54" s="2">
        <v>46068.188194444447</v>
      </c>
      <c r="C54" t="s">
        <v>57</v>
      </c>
      <c r="D54">
        <v>15.7</v>
      </c>
      <c r="E54" t="s">
        <v>56</v>
      </c>
      <c r="F54" s="24">
        <f t="shared" si="0"/>
        <v>4</v>
      </c>
    </row>
    <row r="55" spans="1:6" x14ac:dyDescent="0.35">
      <c r="A55" t="s">
        <v>19</v>
      </c>
      <c r="B55" s="2">
        <v>46027.331944444442</v>
      </c>
      <c r="C55" t="s">
        <v>57</v>
      </c>
      <c r="D55">
        <v>9</v>
      </c>
      <c r="E55" t="s">
        <v>54</v>
      </c>
      <c r="F55" s="24">
        <f t="shared" si="0"/>
        <v>7</v>
      </c>
    </row>
    <row r="56" spans="1:6" x14ac:dyDescent="0.35">
      <c r="A56" t="s">
        <v>27</v>
      </c>
      <c r="B56" s="2">
        <v>46075.847222222219</v>
      </c>
      <c r="C56" t="s">
        <v>59</v>
      </c>
      <c r="D56">
        <v>25.4</v>
      </c>
      <c r="E56" t="s">
        <v>56</v>
      </c>
      <c r="F56" s="24">
        <f t="shared" si="0"/>
        <v>20</v>
      </c>
    </row>
    <row r="57" spans="1:6" x14ac:dyDescent="0.35">
      <c r="A57" t="s">
        <v>15</v>
      </c>
      <c r="B57" s="2">
        <v>46112.415972222225</v>
      </c>
      <c r="C57" t="s">
        <v>57</v>
      </c>
      <c r="D57">
        <v>21.7</v>
      </c>
      <c r="E57" t="s">
        <v>62</v>
      </c>
      <c r="F57" s="24">
        <f t="shared" si="0"/>
        <v>9</v>
      </c>
    </row>
    <row r="58" spans="1:6" x14ac:dyDescent="0.35">
      <c r="A58" t="s">
        <v>23</v>
      </c>
      <c r="B58" s="2">
        <v>46050.667361111111</v>
      </c>
      <c r="C58" t="s">
        <v>55</v>
      </c>
      <c r="D58">
        <v>122.2</v>
      </c>
      <c r="E58" t="s">
        <v>58</v>
      </c>
      <c r="F58" s="24">
        <f t="shared" si="0"/>
        <v>16</v>
      </c>
    </row>
    <row r="59" spans="1:6" x14ac:dyDescent="0.35">
      <c r="A59" t="s">
        <v>19</v>
      </c>
      <c r="B59" s="2">
        <v>46076.313888888886</v>
      </c>
      <c r="C59" t="s">
        <v>53</v>
      </c>
      <c r="D59">
        <v>26.5</v>
      </c>
      <c r="E59" t="s">
        <v>56</v>
      </c>
      <c r="F59" s="24">
        <f t="shared" si="0"/>
        <v>7</v>
      </c>
    </row>
    <row r="60" spans="1:6" x14ac:dyDescent="0.35">
      <c r="A60" t="s">
        <v>39</v>
      </c>
      <c r="B60" s="2">
        <v>46032.663194444445</v>
      </c>
      <c r="C60" t="s">
        <v>59</v>
      </c>
      <c r="D60">
        <v>57.3</v>
      </c>
      <c r="E60" t="s">
        <v>58</v>
      </c>
      <c r="F60" s="24">
        <f t="shared" si="0"/>
        <v>15</v>
      </c>
    </row>
    <row r="61" spans="1:6" x14ac:dyDescent="0.35">
      <c r="A61" t="s">
        <v>9</v>
      </c>
      <c r="B61" s="2">
        <v>46039.145138888889</v>
      </c>
      <c r="C61" t="s">
        <v>55</v>
      </c>
      <c r="D61">
        <v>91.7</v>
      </c>
      <c r="E61" t="s">
        <v>54</v>
      </c>
      <c r="F61" s="24">
        <f t="shared" si="0"/>
        <v>3</v>
      </c>
    </row>
    <row r="62" spans="1:6" x14ac:dyDescent="0.35">
      <c r="A62" t="s">
        <v>35</v>
      </c>
      <c r="B62" s="2">
        <v>46089.470833333333</v>
      </c>
      <c r="C62" t="s">
        <v>55</v>
      </c>
      <c r="D62">
        <v>47.7</v>
      </c>
      <c r="E62" t="s">
        <v>54</v>
      </c>
      <c r="F62" s="24">
        <f t="shared" si="0"/>
        <v>11</v>
      </c>
    </row>
    <row r="63" spans="1:6" x14ac:dyDescent="0.35">
      <c r="A63" t="s">
        <v>9</v>
      </c>
      <c r="B63" s="2">
        <v>46088.150694444441</v>
      </c>
      <c r="C63" t="s">
        <v>55</v>
      </c>
      <c r="D63">
        <v>115.7</v>
      </c>
      <c r="E63" t="s">
        <v>61</v>
      </c>
      <c r="F63" s="24">
        <f t="shared" si="0"/>
        <v>3</v>
      </c>
    </row>
    <row r="64" spans="1:6" x14ac:dyDescent="0.35">
      <c r="A64" t="s">
        <v>33</v>
      </c>
      <c r="B64" s="2">
        <v>46072.226388888892</v>
      </c>
      <c r="C64" t="s">
        <v>57</v>
      </c>
      <c r="D64">
        <v>53.2</v>
      </c>
      <c r="E64" t="s">
        <v>56</v>
      </c>
      <c r="F64" s="24">
        <f t="shared" si="0"/>
        <v>5</v>
      </c>
    </row>
    <row r="65" spans="1:6" x14ac:dyDescent="0.35">
      <c r="A65" t="s">
        <v>27</v>
      </c>
      <c r="B65" s="2">
        <v>46043.097916666666</v>
      </c>
      <c r="C65" t="s">
        <v>59</v>
      </c>
      <c r="D65">
        <v>32.799999999999997</v>
      </c>
      <c r="E65" t="s">
        <v>56</v>
      </c>
      <c r="F65" s="24">
        <f t="shared" si="0"/>
        <v>2</v>
      </c>
    </row>
    <row r="66" spans="1:6" x14ac:dyDescent="0.35">
      <c r="A66" t="s">
        <v>35</v>
      </c>
      <c r="B66" s="2">
        <v>46078.279166666667</v>
      </c>
      <c r="C66" t="s">
        <v>53</v>
      </c>
      <c r="D66">
        <v>8.3000000000000007</v>
      </c>
      <c r="E66" t="s">
        <v>56</v>
      </c>
      <c r="F66" s="24">
        <f t="shared" si="0"/>
        <v>6</v>
      </c>
    </row>
    <row r="67" spans="1:6" x14ac:dyDescent="0.35">
      <c r="A67" t="s">
        <v>9</v>
      </c>
      <c r="B67" s="2">
        <v>46082.920138888891</v>
      </c>
      <c r="C67" t="s">
        <v>57</v>
      </c>
      <c r="D67">
        <v>41.8</v>
      </c>
      <c r="E67" t="s">
        <v>62</v>
      </c>
      <c r="F67" s="24">
        <f t="shared" ref="F67:F130" si="1">HOUR(B67)</f>
        <v>22</v>
      </c>
    </row>
    <row r="68" spans="1:6" x14ac:dyDescent="0.35">
      <c r="A68" t="s">
        <v>35</v>
      </c>
      <c r="B68" s="2">
        <v>46049.302083333336</v>
      </c>
      <c r="C68" t="s">
        <v>53</v>
      </c>
      <c r="D68">
        <v>23.8</v>
      </c>
      <c r="E68" t="s">
        <v>56</v>
      </c>
      <c r="F68" s="24">
        <f t="shared" si="1"/>
        <v>7</v>
      </c>
    </row>
    <row r="69" spans="1:6" x14ac:dyDescent="0.35">
      <c r="A69" t="s">
        <v>11</v>
      </c>
      <c r="B69" s="2">
        <v>46109.012499999997</v>
      </c>
      <c r="C69" t="s">
        <v>55</v>
      </c>
      <c r="D69">
        <v>107</v>
      </c>
      <c r="E69" t="s">
        <v>62</v>
      </c>
      <c r="F69" s="24">
        <f t="shared" si="1"/>
        <v>0</v>
      </c>
    </row>
    <row r="70" spans="1:6" x14ac:dyDescent="0.35">
      <c r="A70" t="s">
        <v>19</v>
      </c>
      <c r="B70" s="2">
        <v>46030.065972222219</v>
      </c>
      <c r="C70" t="s">
        <v>59</v>
      </c>
      <c r="D70">
        <v>34.299999999999997</v>
      </c>
      <c r="E70" t="s">
        <v>56</v>
      </c>
      <c r="F70" s="24">
        <f t="shared" si="1"/>
        <v>1</v>
      </c>
    </row>
    <row r="71" spans="1:6" x14ac:dyDescent="0.35">
      <c r="A71" t="s">
        <v>29</v>
      </c>
      <c r="B71" s="2">
        <v>46053.190972222219</v>
      </c>
      <c r="C71" t="s">
        <v>59</v>
      </c>
      <c r="D71">
        <v>122</v>
      </c>
      <c r="E71" t="s">
        <v>60</v>
      </c>
      <c r="F71" s="24">
        <f t="shared" si="1"/>
        <v>4</v>
      </c>
    </row>
    <row r="72" spans="1:6" x14ac:dyDescent="0.35">
      <c r="A72" t="s">
        <v>13</v>
      </c>
      <c r="B72" s="2">
        <v>46056.565972222219</v>
      </c>
      <c r="C72" t="s">
        <v>55</v>
      </c>
      <c r="D72">
        <v>68.2</v>
      </c>
      <c r="E72" t="s">
        <v>56</v>
      </c>
      <c r="F72" s="24">
        <f t="shared" si="1"/>
        <v>13</v>
      </c>
    </row>
    <row r="73" spans="1:6" x14ac:dyDescent="0.35">
      <c r="A73" t="s">
        <v>15</v>
      </c>
      <c r="B73" s="2">
        <v>46027.804166666669</v>
      </c>
      <c r="C73" t="s">
        <v>55</v>
      </c>
      <c r="D73">
        <v>60.8</v>
      </c>
      <c r="E73" t="s">
        <v>54</v>
      </c>
      <c r="F73" s="24">
        <f t="shared" si="1"/>
        <v>19</v>
      </c>
    </row>
    <row r="74" spans="1:6" x14ac:dyDescent="0.35">
      <c r="A74" t="s">
        <v>17</v>
      </c>
      <c r="B74" s="2">
        <v>46087.02847222222</v>
      </c>
      <c r="C74" t="s">
        <v>55</v>
      </c>
      <c r="D74">
        <v>30.4</v>
      </c>
      <c r="E74" t="s">
        <v>61</v>
      </c>
      <c r="F74" s="24">
        <f t="shared" si="1"/>
        <v>0</v>
      </c>
    </row>
    <row r="75" spans="1:6" x14ac:dyDescent="0.35">
      <c r="A75" t="s">
        <v>37</v>
      </c>
      <c r="B75" s="2">
        <v>46101.436111111114</v>
      </c>
      <c r="C75" t="s">
        <v>59</v>
      </c>
      <c r="D75">
        <v>115.3</v>
      </c>
      <c r="E75" t="s">
        <v>61</v>
      </c>
      <c r="F75" s="24">
        <f t="shared" si="1"/>
        <v>10</v>
      </c>
    </row>
    <row r="76" spans="1:6" x14ac:dyDescent="0.35">
      <c r="A76" t="s">
        <v>13</v>
      </c>
      <c r="B76" s="2">
        <v>46048.527777777781</v>
      </c>
      <c r="C76" t="s">
        <v>59</v>
      </c>
      <c r="D76">
        <v>44.9</v>
      </c>
      <c r="E76" t="s">
        <v>61</v>
      </c>
      <c r="F76" s="24">
        <f t="shared" si="1"/>
        <v>12</v>
      </c>
    </row>
    <row r="77" spans="1:6" x14ac:dyDescent="0.35">
      <c r="A77" t="s">
        <v>17</v>
      </c>
      <c r="B77" s="2">
        <v>46077.637499999997</v>
      </c>
      <c r="C77" t="s">
        <v>57</v>
      </c>
      <c r="D77">
        <v>26.3</v>
      </c>
      <c r="E77" t="s">
        <v>62</v>
      </c>
      <c r="F77" s="24">
        <f t="shared" si="1"/>
        <v>15</v>
      </c>
    </row>
    <row r="78" spans="1:6" x14ac:dyDescent="0.35">
      <c r="A78" t="s">
        <v>27</v>
      </c>
      <c r="B78" s="2">
        <v>46103.881944444445</v>
      </c>
      <c r="C78" t="s">
        <v>57</v>
      </c>
      <c r="D78">
        <v>25.1</v>
      </c>
      <c r="E78" t="s">
        <v>54</v>
      </c>
      <c r="F78" s="24">
        <f t="shared" si="1"/>
        <v>21</v>
      </c>
    </row>
    <row r="79" spans="1:6" x14ac:dyDescent="0.35">
      <c r="A79" t="s">
        <v>25</v>
      </c>
      <c r="B79" s="2">
        <v>46100.136805555558</v>
      </c>
      <c r="C79" t="s">
        <v>59</v>
      </c>
      <c r="D79">
        <v>136.1</v>
      </c>
      <c r="E79" t="s">
        <v>54</v>
      </c>
      <c r="F79" s="24">
        <f t="shared" si="1"/>
        <v>3</v>
      </c>
    </row>
    <row r="80" spans="1:6" x14ac:dyDescent="0.35">
      <c r="A80" t="s">
        <v>17</v>
      </c>
      <c r="B80" s="2">
        <v>46030.349305555559</v>
      </c>
      <c r="C80" t="s">
        <v>57</v>
      </c>
      <c r="D80">
        <v>18.899999999999999</v>
      </c>
      <c r="E80" t="s">
        <v>54</v>
      </c>
      <c r="F80" s="24">
        <f t="shared" si="1"/>
        <v>8</v>
      </c>
    </row>
    <row r="81" spans="1:6" x14ac:dyDescent="0.35">
      <c r="A81" t="s">
        <v>45</v>
      </c>
      <c r="B81" s="2">
        <v>46056.701388888891</v>
      </c>
      <c r="C81" t="s">
        <v>59</v>
      </c>
      <c r="D81">
        <v>106.6</v>
      </c>
      <c r="E81" t="s">
        <v>54</v>
      </c>
      <c r="F81" s="24">
        <f t="shared" si="1"/>
        <v>16</v>
      </c>
    </row>
    <row r="82" spans="1:6" x14ac:dyDescent="0.35">
      <c r="A82" t="s">
        <v>23</v>
      </c>
      <c r="B82" s="2">
        <v>46059.871527777781</v>
      </c>
      <c r="C82" t="s">
        <v>55</v>
      </c>
      <c r="D82">
        <v>77.099999999999994</v>
      </c>
      <c r="E82" t="s">
        <v>56</v>
      </c>
      <c r="F82" s="24">
        <f t="shared" si="1"/>
        <v>20</v>
      </c>
    </row>
    <row r="83" spans="1:6" x14ac:dyDescent="0.35">
      <c r="A83" t="s">
        <v>27</v>
      </c>
      <c r="B83" s="2">
        <v>46034.152083333334</v>
      </c>
      <c r="C83" t="s">
        <v>59</v>
      </c>
      <c r="D83">
        <v>141.19999999999999</v>
      </c>
      <c r="E83" t="s">
        <v>58</v>
      </c>
      <c r="F83" s="24">
        <f t="shared" si="1"/>
        <v>3</v>
      </c>
    </row>
    <row r="84" spans="1:6" x14ac:dyDescent="0.35">
      <c r="A84" t="s">
        <v>39</v>
      </c>
      <c r="B84" s="2">
        <v>46068.882638888892</v>
      </c>
      <c r="C84" t="s">
        <v>57</v>
      </c>
      <c r="D84">
        <v>26.3</v>
      </c>
      <c r="E84" t="s">
        <v>58</v>
      </c>
      <c r="F84" s="24">
        <f t="shared" si="1"/>
        <v>21</v>
      </c>
    </row>
    <row r="85" spans="1:6" x14ac:dyDescent="0.35">
      <c r="A85" t="s">
        <v>33</v>
      </c>
      <c r="B85" s="2">
        <v>46053.035416666666</v>
      </c>
      <c r="C85" t="s">
        <v>53</v>
      </c>
      <c r="D85">
        <v>12.1</v>
      </c>
      <c r="E85" t="s">
        <v>54</v>
      </c>
      <c r="F85" s="24">
        <f t="shared" si="1"/>
        <v>0</v>
      </c>
    </row>
    <row r="86" spans="1:6" x14ac:dyDescent="0.35">
      <c r="A86" t="s">
        <v>37</v>
      </c>
      <c r="B86" s="2">
        <v>46091.351388888892</v>
      </c>
      <c r="C86" t="s">
        <v>57</v>
      </c>
      <c r="D86">
        <v>47.8</v>
      </c>
      <c r="E86" t="s">
        <v>58</v>
      </c>
      <c r="F86" s="24">
        <f t="shared" si="1"/>
        <v>8</v>
      </c>
    </row>
    <row r="87" spans="1:6" x14ac:dyDescent="0.35">
      <c r="A87" t="s">
        <v>29</v>
      </c>
      <c r="B87" s="2">
        <v>46031.004861111112</v>
      </c>
      <c r="C87" t="s">
        <v>53</v>
      </c>
      <c r="D87">
        <v>19.600000000000001</v>
      </c>
      <c r="E87" t="s">
        <v>54</v>
      </c>
      <c r="F87" s="24">
        <f t="shared" si="1"/>
        <v>0</v>
      </c>
    </row>
    <row r="88" spans="1:6" x14ac:dyDescent="0.35">
      <c r="A88" t="s">
        <v>13</v>
      </c>
      <c r="B88" s="2">
        <v>46047.388194444444</v>
      </c>
      <c r="C88" t="s">
        <v>55</v>
      </c>
      <c r="D88">
        <v>149.1</v>
      </c>
      <c r="E88" t="s">
        <v>61</v>
      </c>
      <c r="F88" s="24">
        <f t="shared" si="1"/>
        <v>9</v>
      </c>
    </row>
    <row r="89" spans="1:6" x14ac:dyDescent="0.35">
      <c r="A89" t="s">
        <v>25</v>
      </c>
      <c r="B89" s="2">
        <v>46062.413888888892</v>
      </c>
      <c r="C89" t="s">
        <v>57</v>
      </c>
      <c r="D89">
        <v>28.5</v>
      </c>
      <c r="E89" t="s">
        <v>58</v>
      </c>
      <c r="F89" s="24">
        <f t="shared" si="1"/>
        <v>9</v>
      </c>
    </row>
    <row r="90" spans="1:6" x14ac:dyDescent="0.35">
      <c r="A90" t="s">
        <v>21</v>
      </c>
      <c r="B90" s="2">
        <v>46077.121527777781</v>
      </c>
      <c r="C90" t="s">
        <v>57</v>
      </c>
      <c r="D90">
        <v>14.4</v>
      </c>
      <c r="E90" t="s">
        <v>54</v>
      </c>
      <c r="F90" s="24">
        <f t="shared" si="1"/>
        <v>2</v>
      </c>
    </row>
    <row r="91" spans="1:6" x14ac:dyDescent="0.35">
      <c r="A91" t="s">
        <v>13</v>
      </c>
      <c r="B91" s="2">
        <v>46051.102777777778</v>
      </c>
      <c r="C91" t="s">
        <v>57</v>
      </c>
      <c r="D91">
        <v>27</v>
      </c>
      <c r="E91" t="s">
        <v>61</v>
      </c>
      <c r="F91" s="24">
        <f t="shared" si="1"/>
        <v>2</v>
      </c>
    </row>
    <row r="92" spans="1:6" x14ac:dyDescent="0.35">
      <c r="A92" t="s">
        <v>15</v>
      </c>
      <c r="B92" s="2">
        <v>46091.461111111108</v>
      </c>
      <c r="C92" t="s">
        <v>57</v>
      </c>
      <c r="D92">
        <v>9.9</v>
      </c>
      <c r="E92" t="s">
        <v>54</v>
      </c>
      <c r="F92" s="24">
        <f t="shared" si="1"/>
        <v>11</v>
      </c>
    </row>
    <row r="93" spans="1:6" x14ac:dyDescent="0.35">
      <c r="A93" t="s">
        <v>13</v>
      </c>
      <c r="B93" s="2">
        <v>46062.917361111111</v>
      </c>
      <c r="C93" t="s">
        <v>57</v>
      </c>
      <c r="D93">
        <v>42.1</v>
      </c>
      <c r="E93" t="s">
        <v>56</v>
      </c>
      <c r="F93" s="24">
        <f t="shared" si="1"/>
        <v>22</v>
      </c>
    </row>
    <row r="94" spans="1:6" x14ac:dyDescent="0.35">
      <c r="A94" t="s">
        <v>31</v>
      </c>
      <c r="B94" s="2">
        <v>46035.918749999997</v>
      </c>
      <c r="C94" t="s">
        <v>53</v>
      </c>
      <c r="D94">
        <v>48.8</v>
      </c>
      <c r="E94" t="s">
        <v>58</v>
      </c>
      <c r="F94" s="24">
        <f t="shared" si="1"/>
        <v>22</v>
      </c>
    </row>
    <row r="95" spans="1:6" x14ac:dyDescent="0.35">
      <c r="A95" t="s">
        <v>45</v>
      </c>
      <c r="B95" s="2">
        <v>46072.445833333331</v>
      </c>
      <c r="C95" t="s">
        <v>57</v>
      </c>
      <c r="D95">
        <v>40.4</v>
      </c>
      <c r="E95" t="s">
        <v>58</v>
      </c>
      <c r="F95" s="24">
        <f t="shared" si="1"/>
        <v>10</v>
      </c>
    </row>
    <row r="96" spans="1:6" x14ac:dyDescent="0.35">
      <c r="A96" t="s">
        <v>15</v>
      </c>
      <c r="B96" s="2">
        <v>46107.879166666666</v>
      </c>
      <c r="C96" t="s">
        <v>59</v>
      </c>
      <c r="D96">
        <v>25.7</v>
      </c>
      <c r="E96" t="s">
        <v>56</v>
      </c>
      <c r="F96" s="24">
        <f t="shared" si="1"/>
        <v>21</v>
      </c>
    </row>
    <row r="97" spans="1:6" x14ac:dyDescent="0.35">
      <c r="A97" t="s">
        <v>25</v>
      </c>
      <c r="B97" s="2">
        <v>46107.763194444444</v>
      </c>
      <c r="C97" t="s">
        <v>55</v>
      </c>
      <c r="D97">
        <v>86.3</v>
      </c>
      <c r="E97" t="s">
        <v>61</v>
      </c>
      <c r="F97" s="24">
        <f t="shared" si="1"/>
        <v>18</v>
      </c>
    </row>
    <row r="98" spans="1:6" x14ac:dyDescent="0.35">
      <c r="A98" t="s">
        <v>47</v>
      </c>
      <c r="B98" s="2">
        <v>46059.57916666667</v>
      </c>
      <c r="C98" t="s">
        <v>57</v>
      </c>
      <c r="D98">
        <v>34.299999999999997</v>
      </c>
      <c r="E98" t="s">
        <v>61</v>
      </c>
      <c r="F98" s="24">
        <f t="shared" si="1"/>
        <v>13</v>
      </c>
    </row>
    <row r="99" spans="1:6" x14ac:dyDescent="0.35">
      <c r="A99" t="s">
        <v>13</v>
      </c>
      <c r="B99" s="2">
        <v>46034.038888888892</v>
      </c>
      <c r="C99" t="s">
        <v>57</v>
      </c>
      <c r="D99">
        <v>33.6</v>
      </c>
      <c r="E99" t="s">
        <v>60</v>
      </c>
      <c r="F99" s="24">
        <f t="shared" si="1"/>
        <v>0</v>
      </c>
    </row>
    <row r="100" spans="1:6" x14ac:dyDescent="0.35">
      <c r="A100" t="s">
        <v>45</v>
      </c>
      <c r="B100" s="2">
        <v>46035.623611111114</v>
      </c>
      <c r="C100" t="s">
        <v>57</v>
      </c>
      <c r="D100">
        <v>39.5</v>
      </c>
      <c r="E100" t="s">
        <v>60</v>
      </c>
      <c r="F100" s="24">
        <f t="shared" si="1"/>
        <v>14</v>
      </c>
    </row>
    <row r="101" spans="1:6" x14ac:dyDescent="0.35">
      <c r="A101" t="s">
        <v>43</v>
      </c>
      <c r="B101" s="2">
        <v>46026.470833333333</v>
      </c>
      <c r="C101" t="s">
        <v>53</v>
      </c>
      <c r="D101">
        <v>25.5</v>
      </c>
      <c r="E101" t="s">
        <v>61</v>
      </c>
      <c r="F101" s="24">
        <f t="shared" si="1"/>
        <v>11</v>
      </c>
    </row>
    <row r="102" spans="1:6" x14ac:dyDescent="0.35">
      <c r="A102" t="s">
        <v>29</v>
      </c>
      <c r="B102" s="2">
        <v>46091.775694444441</v>
      </c>
      <c r="C102" t="s">
        <v>55</v>
      </c>
      <c r="D102">
        <v>45.8</v>
      </c>
      <c r="E102" t="s">
        <v>54</v>
      </c>
      <c r="F102" s="24">
        <f t="shared" si="1"/>
        <v>18</v>
      </c>
    </row>
    <row r="103" spans="1:6" x14ac:dyDescent="0.35">
      <c r="A103" t="s">
        <v>17</v>
      </c>
      <c r="B103" s="2">
        <v>46029.754166666666</v>
      </c>
      <c r="C103" t="s">
        <v>53</v>
      </c>
      <c r="D103">
        <v>49.1</v>
      </c>
      <c r="E103" t="s">
        <v>58</v>
      </c>
      <c r="F103" s="24">
        <f t="shared" si="1"/>
        <v>18</v>
      </c>
    </row>
    <row r="104" spans="1:6" x14ac:dyDescent="0.35">
      <c r="A104" t="s">
        <v>37</v>
      </c>
      <c r="B104" s="2">
        <v>46036.902083333334</v>
      </c>
      <c r="C104" t="s">
        <v>59</v>
      </c>
      <c r="D104">
        <v>50.1</v>
      </c>
      <c r="E104" t="s">
        <v>58</v>
      </c>
      <c r="F104" s="24">
        <f t="shared" si="1"/>
        <v>21</v>
      </c>
    </row>
    <row r="105" spans="1:6" x14ac:dyDescent="0.35">
      <c r="A105" t="s">
        <v>25</v>
      </c>
      <c r="B105" s="2">
        <v>46087.90625</v>
      </c>
      <c r="C105" t="s">
        <v>59</v>
      </c>
      <c r="D105">
        <v>119.3</v>
      </c>
      <c r="E105" t="s">
        <v>58</v>
      </c>
      <c r="F105" s="24">
        <f t="shared" si="1"/>
        <v>21</v>
      </c>
    </row>
    <row r="106" spans="1:6" x14ac:dyDescent="0.35">
      <c r="A106" t="s">
        <v>31</v>
      </c>
      <c r="B106" s="2">
        <v>46052.868055555555</v>
      </c>
      <c r="C106" t="s">
        <v>53</v>
      </c>
      <c r="D106">
        <v>23.4</v>
      </c>
      <c r="E106" t="s">
        <v>60</v>
      </c>
      <c r="F106" s="24">
        <f t="shared" si="1"/>
        <v>20</v>
      </c>
    </row>
    <row r="107" spans="1:6" x14ac:dyDescent="0.35">
      <c r="A107" t="s">
        <v>15</v>
      </c>
      <c r="B107" s="2">
        <v>46106.347916666666</v>
      </c>
      <c r="C107" t="s">
        <v>53</v>
      </c>
      <c r="D107">
        <v>14.7</v>
      </c>
      <c r="E107" t="s">
        <v>54</v>
      </c>
      <c r="F107" s="24">
        <f t="shared" si="1"/>
        <v>8</v>
      </c>
    </row>
    <row r="108" spans="1:6" x14ac:dyDescent="0.35">
      <c r="A108" t="s">
        <v>21</v>
      </c>
      <c r="B108" s="2">
        <v>46111.697916666664</v>
      </c>
      <c r="C108" t="s">
        <v>57</v>
      </c>
      <c r="D108">
        <v>25.3</v>
      </c>
      <c r="E108" t="s">
        <v>54</v>
      </c>
      <c r="F108" s="24">
        <f t="shared" si="1"/>
        <v>16</v>
      </c>
    </row>
    <row r="109" spans="1:6" x14ac:dyDescent="0.35">
      <c r="A109" t="s">
        <v>25</v>
      </c>
      <c r="B109" s="2">
        <v>46041.840277777781</v>
      </c>
      <c r="C109" t="s">
        <v>53</v>
      </c>
      <c r="D109">
        <v>45.9</v>
      </c>
      <c r="E109" t="s">
        <v>56</v>
      </c>
      <c r="F109" s="24">
        <f t="shared" si="1"/>
        <v>20</v>
      </c>
    </row>
    <row r="110" spans="1:6" x14ac:dyDescent="0.35">
      <c r="A110" t="s">
        <v>13</v>
      </c>
      <c r="B110" s="2">
        <v>46054.695138888892</v>
      </c>
      <c r="C110" t="s">
        <v>57</v>
      </c>
      <c r="D110">
        <v>47.5</v>
      </c>
      <c r="E110" t="s">
        <v>58</v>
      </c>
      <c r="F110" s="24">
        <f t="shared" si="1"/>
        <v>16</v>
      </c>
    </row>
    <row r="111" spans="1:6" x14ac:dyDescent="0.35">
      <c r="A111" t="s">
        <v>31</v>
      </c>
      <c r="B111" s="2">
        <v>46108.020833333336</v>
      </c>
      <c r="C111" t="s">
        <v>57</v>
      </c>
      <c r="D111">
        <v>20.2</v>
      </c>
      <c r="E111" t="s">
        <v>61</v>
      </c>
      <c r="F111" s="24">
        <f t="shared" si="1"/>
        <v>0</v>
      </c>
    </row>
    <row r="112" spans="1:6" x14ac:dyDescent="0.35">
      <c r="A112" t="s">
        <v>31</v>
      </c>
      <c r="B112" s="2">
        <v>46104.593055555553</v>
      </c>
      <c r="C112" t="s">
        <v>59</v>
      </c>
      <c r="D112">
        <v>75.5</v>
      </c>
      <c r="E112" t="s">
        <v>58</v>
      </c>
      <c r="F112" s="24">
        <f t="shared" si="1"/>
        <v>14</v>
      </c>
    </row>
    <row r="113" spans="1:6" x14ac:dyDescent="0.35">
      <c r="A113" t="s">
        <v>39</v>
      </c>
      <c r="B113" s="2">
        <v>46063.069444444445</v>
      </c>
      <c r="C113" t="s">
        <v>53</v>
      </c>
      <c r="D113">
        <v>52.6</v>
      </c>
      <c r="E113" t="s">
        <v>61</v>
      </c>
      <c r="F113" s="24">
        <f t="shared" si="1"/>
        <v>1</v>
      </c>
    </row>
    <row r="114" spans="1:6" x14ac:dyDescent="0.35">
      <c r="A114" t="s">
        <v>11</v>
      </c>
      <c r="B114" s="2">
        <v>46064.603472222225</v>
      </c>
      <c r="C114" t="s">
        <v>59</v>
      </c>
      <c r="D114">
        <v>34.5</v>
      </c>
      <c r="E114" t="s">
        <v>61</v>
      </c>
      <c r="F114" s="24">
        <f t="shared" si="1"/>
        <v>14</v>
      </c>
    </row>
    <row r="115" spans="1:6" x14ac:dyDescent="0.35">
      <c r="A115" t="s">
        <v>17</v>
      </c>
      <c r="B115" s="2">
        <v>46069.450694444444</v>
      </c>
      <c r="C115" t="s">
        <v>57</v>
      </c>
      <c r="D115">
        <v>58.4</v>
      </c>
      <c r="E115" t="s">
        <v>60</v>
      </c>
      <c r="F115" s="24">
        <f t="shared" si="1"/>
        <v>10</v>
      </c>
    </row>
    <row r="116" spans="1:6" x14ac:dyDescent="0.35">
      <c r="A116" t="s">
        <v>13</v>
      </c>
      <c r="B116" s="2">
        <v>46083.992361111108</v>
      </c>
      <c r="C116" t="s">
        <v>55</v>
      </c>
      <c r="D116">
        <v>106.5</v>
      </c>
      <c r="E116" t="s">
        <v>54</v>
      </c>
      <c r="F116" s="24">
        <f t="shared" si="1"/>
        <v>23</v>
      </c>
    </row>
    <row r="117" spans="1:6" x14ac:dyDescent="0.35">
      <c r="A117" t="s">
        <v>37</v>
      </c>
      <c r="B117" s="2">
        <v>46039.852777777778</v>
      </c>
      <c r="C117" t="s">
        <v>57</v>
      </c>
      <c r="D117">
        <v>49.9</v>
      </c>
      <c r="E117" t="s">
        <v>58</v>
      </c>
      <c r="F117" s="24">
        <f t="shared" si="1"/>
        <v>20</v>
      </c>
    </row>
    <row r="118" spans="1:6" x14ac:dyDescent="0.35">
      <c r="A118" t="s">
        <v>15</v>
      </c>
      <c r="B118" s="2">
        <v>46104.015277777777</v>
      </c>
      <c r="C118" t="s">
        <v>57</v>
      </c>
      <c r="D118">
        <v>19.8</v>
      </c>
      <c r="E118" t="s">
        <v>62</v>
      </c>
      <c r="F118" s="24">
        <f t="shared" si="1"/>
        <v>0</v>
      </c>
    </row>
    <row r="119" spans="1:6" x14ac:dyDescent="0.35">
      <c r="A119" t="s">
        <v>13</v>
      </c>
      <c r="B119" s="2">
        <v>46062.87777777778</v>
      </c>
      <c r="C119" t="s">
        <v>55</v>
      </c>
      <c r="D119">
        <v>46.8</v>
      </c>
      <c r="E119" t="s">
        <v>54</v>
      </c>
      <c r="F119" s="24">
        <f t="shared" si="1"/>
        <v>21</v>
      </c>
    </row>
    <row r="120" spans="1:6" x14ac:dyDescent="0.35">
      <c r="A120" t="s">
        <v>9</v>
      </c>
      <c r="B120" s="2">
        <v>46094.189583333333</v>
      </c>
      <c r="C120" t="s">
        <v>59</v>
      </c>
      <c r="D120">
        <v>98</v>
      </c>
      <c r="E120" t="s">
        <v>60</v>
      </c>
      <c r="F120" s="24">
        <f t="shared" si="1"/>
        <v>4</v>
      </c>
    </row>
    <row r="121" spans="1:6" x14ac:dyDescent="0.35">
      <c r="A121" t="s">
        <v>15</v>
      </c>
      <c r="B121" s="2">
        <v>46074.938194444447</v>
      </c>
      <c r="C121" t="s">
        <v>59</v>
      </c>
      <c r="D121">
        <v>123.8</v>
      </c>
      <c r="E121" t="s">
        <v>56</v>
      </c>
      <c r="F121" s="24">
        <f t="shared" si="1"/>
        <v>22</v>
      </c>
    </row>
    <row r="122" spans="1:6" x14ac:dyDescent="0.35">
      <c r="A122" t="s">
        <v>17</v>
      </c>
      <c r="B122" s="2">
        <v>46052.447222222225</v>
      </c>
      <c r="C122" t="s">
        <v>53</v>
      </c>
      <c r="D122">
        <v>45.5</v>
      </c>
      <c r="E122" t="s">
        <v>54</v>
      </c>
      <c r="F122" s="24">
        <f t="shared" si="1"/>
        <v>10</v>
      </c>
    </row>
    <row r="123" spans="1:6" x14ac:dyDescent="0.35">
      <c r="A123" t="s">
        <v>39</v>
      </c>
      <c r="B123" s="2">
        <v>46032.480555555558</v>
      </c>
      <c r="C123" t="s">
        <v>53</v>
      </c>
      <c r="D123">
        <v>10.6</v>
      </c>
      <c r="E123" t="s">
        <v>62</v>
      </c>
      <c r="F123" s="24">
        <f t="shared" si="1"/>
        <v>11</v>
      </c>
    </row>
    <row r="124" spans="1:6" x14ac:dyDescent="0.35">
      <c r="A124" t="s">
        <v>11</v>
      </c>
      <c r="B124" s="2">
        <v>46111.140972222223</v>
      </c>
      <c r="C124" t="s">
        <v>57</v>
      </c>
      <c r="D124">
        <v>15.5</v>
      </c>
      <c r="E124" t="s">
        <v>54</v>
      </c>
      <c r="F124" s="24">
        <f t="shared" si="1"/>
        <v>3</v>
      </c>
    </row>
    <row r="125" spans="1:6" x14ac:dyDescent="0.35">
      <c r="A125" t="s">
        <v>15</v>
      </c>
      <c r="B125" s="2">
        <v>46105.873611111114</v>
      </c>
      <c r="C125" t="s">
        <v>53</v>
      </c>
      <c r="D125">
        <v>56.1</v>
      </c>
      <c r="E125" t="s">
        <v>58</v>
      </c>
      <c r="F125" s="24">
        <f t="shared" si="1"/>
        <v>20</v>
      </c>
    </row>
    <row r="126" spans="1:6" x14ac:dyDescent="0.35">
      <c r="A126" t="s">
        <v>35</v>
      </c>
      <c r="B126" s="2">
        <v>46028.543749999997</v>
      </c>
      <c r="C126" t="s">
        <v>59</v>
      </c>
      <c r="D126">
        <v>141.69999999999999</v>
      </c>
      <c r="E126" t="s">
        <v>60</v>
      </c>
      <c r="F126" s="24">
        <f t="shared" si="1"/>
        <v>13</v>
      </c>
    </row>
    <row r="127" spans="1:6" x14ac:dyDescent="0.35">
      <c r="A127" t="s">
        <v>39</v>
      </c>
      <c r="B127" s="2">
        <v>46071.972916666666</v>
      </c>
      <c r="C127" t="s">
        <v>55</v>
      </c>
      <c r="D127">
        <v>65.400000000000006</v>
      </c>
      <c r="E127" t="s">
        <v>62</v>
      </c>
      <c r="F127" s="24">
        <f t="shared" si="1"/>
        <v>23</v>
      </c>
    </row>
    <row r="128" spans="1:6" x14ac:dyDescent="0.35">
      <c r="A128" t="s">
        <v>45</v>
      </c>
      <c r="B128" s="2">
        <v>46046.125694444447</v>
      </c>
      <c r="C128" t="s">
        <v>53</v>
      </c>
      <c r="D128">
        <v>26.6</v>
      </c>
      <c r="E128" t="s">
        <v>62</v>
      </c>
      <c r="F128" s="24">
        <f t="shared" si="1"/>
        <v>3</v>
      </c>
    </row>
    <row r="129" spans="1:6" x14ac:dyDescent="0.35">
      <c r="A129" t="s">
        <v>21</v>
      </c>
      <c r="B129" s="2">
        <v>46049.388888888891</v>
      </c>
      <c r="C129" t="s">
        <v>55</v>
      </c>
      <c r="D129">
        <v>39.700000000000003</v>
      </c>
      <c r="E129" t="s">
        <v>60</v>
      </c>
      <c r="F129" s="24">
        <f t="shared" si="1"/>
        <v>9</v>
      </c>
    </row>
    <row r="130" spans="1:6" x14ac:dyDescent="0.35">
      <c r="A130" t="s">
        <v>43</v>
      </c>
      <c r="B130" s="2">
        <v>46069.31527777778</v>
      </c>
      <c r="C130" t="s">
        <v>59</v>
      </c>
      <c r="D130">
        <v>100</v>
      </c>
      <c r="E130" t="s">
        <v>56</v>
      </c>
      <c r="F130" s="24">
        <f t="shared" si="1"/>
        <v>7</v>
      </c>
    </row>
    <row r="131" spans="1:6" x14ac:dyDescent="0.35">
      <c r="A131" t="s">
        <v>33</v>
      </c>
      <c r="B131" s="2">
        <v>46065.322222222225</v>
      </c>
      <c r="C131" t="s">
        <v>53</v>
      </c>
      <c r="D131">
        <v>35.700000000000003</v>
      </c>
      <c r="E131" t="s">
        <v>62</v>
      </c>
      <c r="F131" s="24">
        <f t="shared" ref="F131:F194" si="2">HOUR(B131)</f>
        <v>7</v>
      </c>
    </row>
    <row r="132" spans="1:6" x14ac:dyDescent="0.35">
      <c r="A132" t="s">
        <v>37</v>
      </c>
      <c r="B132" s="2">
        <v>46048.604166666664</v>
      </c>
      <c r="C132" t="s">
        <v>55</v>
      </c>
      <c r="D132">
        <v>81.900000000000006</v>
      </c>
      <c r="E132" t="s">
        <v>58</v>
      </c>
      <c r="F132" s="24">
        <f t="shared" si="2"/>
        <v>14</v>
      </c>
    </row>
    <row r="133" spans="1:6" x14ac:dyDescent="0.35">
      <c r="A133" t="s">
        <v>35</v>
      </c>
      <c r="B133" s="2">
        <v>46057.573611111111</v>
      </c>
      <c r="C133" t="s">
        <v>55</v>
      </c>
      <c r="D133">
        <v>30.3</v>
      </c>
      <c r="E133" t="s">
        <v>58</v>
      </c>
      <c r="F133" s="24">
        <f t="shared" si="2"/>
        <v>13</v>
      </c>
    </row>
    <row r="134" spans="1:6" x14ac:dyDescent="0.35">
      <c r="A134" t="s">
        <v>35</v>
      </c>
      <c r="B134" s="2">
        <v>46035.82916666667</v>
      </c>
      <c r="C134" t="s">
        <v>55</v>
      </c>
      <c r="D134">
        <v>69.8</v>
      </c>
      <c r="E134" t="s">
        <v>60</v>
      </c>
      <c r="F134" s="24">
        <f t="shared" si="2"/>
        <v>19</v>
      </c>
    </row>
    <row r="135" spans="1:6" x14ac:dyDescent="0.35">
      <c r="A135" t="s">
        <v>45</v>
      </c>
      <c r="B135" s="2">
        <v>46090.176388888889</v>
      </c>
      <c r="C135" t="s">
        <v>59</v>
      </c>
      <c r="D135">
        <v>40.9</v>
      </c>
      <c r="E135" t="s">
        <v>58</v>
      </c>
      <c r="F135" s="24">
        <f t="shared" si="2"/>
        <v>4</v>
      </c>
    </row>
    <row r="136" spans="1:6" x14ac:dyDescent="0.35">
      <c r="A136" t="s">
        <v>31</v>
      </c>
      <c r="B136" s="2">
        <v>46079.902083333334</v>
      </c>
      <c r="C136" t="s">
        <v>55</v>
      </c>
      <c r="D136">
        <v>99</v>
      </c>
      <c r="E136" t="s">
        <v>62</v>
      </c>
      <c r="F136" s="24">
        <f t="shared" si="2"/>
        <v>21</v>
      </c>
    </row>
    <row r="137" spans="1:6" x14ac:dyDescent="0.35">
      <c r="A137" t="s">
        <v>37</v>
      </c>
      <c r="B137" s="2">
        <v>46089.331944444442</v>
      </c>
      <c r="C137" t="s">
        <v>53</v>
      </c>
      <c r="D137">
        <v>49.4</v>
      </c>
      <c r="E137" t="s">
        <v>54</v>
      </c>
      <c r="F137" s="24">
        <f t="shared" si="2"/>
        <v>7</v>
      </c>
    </row>
    <row r="138" spans="1:6" x14ac:dyDescent="0.35">
      <c r="A138" t="s">
        <v>41</v>
      </c>
      <c r="B138" s="2">
        <v>46072.711111111108</v>
      </c>
      <c r="C138" t="s">
        <v>55</v>
      </c>
      <c r="D138">
        <v>80.599999999999994</v>
      </c>
      <c r="E138" t="s">
        <v>61</v>
      </c>
      <c r="F138" s="24">
        <f t="shared" si="2"/>
        <v>17</v>
      </c>
    </row>
    <row r="139" spans="1:6" x14ac:dyDescent="0.35">
      <c r="A139" t="s">
        <v>25</v>
      </c>
      <c r="B139" s="2">
        <v>46044.488888888889</v>
      </c>
      <c r="C139" t="s">
        <v>57</v>
      </c>
      <c r="D139">
        <v>12.7</v>
      </c>
      <c r="E139" t="s">
        <v>62</v>
      </c>
      <c r="F139" s="24">
        <f t="shared" si="2"/>
        <v>11</v>
      </c>
    </row>
    <row r="140" spans="1:6" x14ac:dyDescent="0.35">
      <c r="A140" t="s">
        <v>15</v>
      </c>
      <c r="B140" s="2">
        <v>46042.228472222225</v>
      </c>
      <c r="C140" t="s">
        <v>55</v>
      </c>
      <c r="D140">
        <v>100.2</v>
      </c>
      <c r="E140" t="s">
        <v>60</v>
      </c>
      <c r="F140" s="24">
        <f t="shared" si="2"/>
        <v>5</v>
      </c>
    </row>
    <row r="141" spans="1:6" x14ac:dyDescent="0.35">
      <c r="A141" t="s">
        <v>33</v>
      </c>
      <c r="B141" s="2">
        <v>46060.275694444441</v>
      </c>
      <c r="C141" t="s">
        <v>59</v>
      </c>
      <c r="D141">
        <v>117.5</v>
      </c>
      <c r="E141" t="s">
        <v>62</v>
      </c>
      <c r="F141" s="24">
        <f t="shared" si="2"/>
        <v>6</v>
      </c>
    </row>
    <row r="142" spans="1:6" x14ac:dyDescent="0.35">
      <c r="A142" t="s">
        <v>33</v>
      </c>
      <c r="B142" s="2">
        <v>46101.584027777775</v>
      </c>
      <c r="C142" t="s">
        <v>57</v>
      </c>
      <c r="D142">
        <v>13.7</v>
      </c>
      <c r="E142" t="s">
        <v>62</v>
      </c>
      <c r="F142" s="24">
        <f t="shared" si="2"/>
        <v>14</v>
      </c>
    </row>
    <row r="143" spans="1:6" x14ac:dyDescent="0.35">
      <c r="A143" t="s">
        <v>45</v>
      </c>
      <c r="B143" s="2">
        <v>46108.222222222219</v>
      </c>
      <c r="C143" t="s">
        <v>59</v>
      </c>
      <c r="D143">
        <v>33.1</v>
      </c>
      <c r="E143" t="s">
        <v>54</v>
      </c>
      <c r="F143" s="24">
        <f t="shared" si="2"/>
        <v>5</v>
      </c>
    </row>
    <row r="144" spans="1:6" x14ac:dyDescent="0.35">
      <c r="A144" t="s">
        <v>17</v>
      </c>
      <c r="B144" s="2">
        <v>46050.09097222222</v>
      </c>
      <c r="C144" t="s">
        <v>53</v>
      </c>
      <c r="D144">
        <v>28.9</v>
      </c>
      <c r="E144" t="s">
        <v>54</v>
      </c>
      <c r="F144" s="24">
        <f t="shared" si="2"/>
        <v>2</v>
      </c>
    </row>
    <row r="145" spans="1:6" x14ac:dyDescent="0.35">
      <c r="A145" t="s">
        <v>13</v>
      </c>
      <c r="B145" s="2">
        <v>46090.068055555559</v>
      </c>
      <c r="C145" t="s">
        <v>57</v>
      </c>
      <c r="D145">
        <v>41</v>
      </c>
      <c r="E145" t="s">
        <v>58</v>
      </c>
      <c r="F145" s="24">
        <f t="shared" si="2"/>
        <v>1</v>
      </c>
    </row>
    <row r="146" spans="1:6" x14ac:dyDescent="0.35">
      <c r="A146" t="s">
        <v>25</v>
      </c>
      <c r="B146" s="2">
        <v>46053.888194444444</v>
      </c>
      <c r="C146" t="s">
        <v>57</v>
      </c>
      <c r="D146">
        <v>29.8</v>
      </c>
      <c r="E146" t="s">
        <v>56</v>
      </c>
      <c r="F146" s="24">
        <f t="shared" si="2"/>
        <v>21</v>
      </c>
    </row>
    <row r="147" spans="1:6" x14ac:dyDescent="0.35">
      <c r="A147" t="s">
        <v>41</v>
      </c>
      <c r="B147" s="2">
        <v>46070.975694444445</v>
      </c>
      <c r="C147" t="s">
        <v>59</v>
      </c>
      <c r="D147">
        <v>100</v>
      </c>
      <c r="E147" t="s">
        <v>62</v>
      </c>
      <c r="F147" s="24">
        <f t="shared" si="2"/>
        <v>23</v>
      </c>
    </row>
    <row r="148" spans="1:6" x14ac:dyDescent="0.35">
      <c r="A148" t="s">
        <v>15</v>
      </c>
      <c r="B148" s="2">
        <v>46078.984722222223</v>
      </c>
      <c r="C148" t="s">
        <v>57</v>
      </c>
      <c r="D148">
        <v>55.3</v>
      </c>
      <c r="E148" t="s">
        <v>56</v>
      </c>
      <c r="F148" s="24">
        <f t="shared" si="2"/>
        <v>23</v>
      </c>
    </row>
    <row r="149" spans="1:6" x14ac:dyDescent="0.35">
      <c r="A149" t="s">
        <v>33</v>
      </c>
      <c r="B149" s="2">
        <v>46052.407638888886</v>
      </c>
      <c r="C149" t="s">
        <v>53</v>
      </c>
      <c r="D149">
        <v>32.799999999999997</v>
      </c>
      <c r="E149" t="s">
        <v>61</v>
      </c>
      <c r="F149" s="24">
        <f t="shared" si="2"/>
        <v>9</v>
      </c>
    </row>
    <row r="150" spans="1:6" x14ac:dyDescent="0.35">
      <c r="A150" t="s">
        <v>41</v>
      </c>
      <c r="B150" s="2">
        <v>46112.256944444445</v>
      </c>
      <c r="C150" t="s">
        <v>57</v>
      </c>
      <c r="D150">
        <v>17.8</v>
      </c>
      <c r="E150" t="s">
        <v>61</v>
      </c>
      <c r="F150" s="24">
        <f t="shared" si="2"/>
        <v>6</v>
      </c>
    </row>
    <row r="151" spans="1:6" x14ac:dyDescent="0.35">
      <c r="A151" t="s">
        <v>9</v>
      </c>
      <c r="B151" s="2">
        <v>46035.402777777781</v>
      </c>
      <c r="C151" t="s">
        <v>57</v>
      </c>
      <c r="D151">
        <v>43.5</v>
      </c>
      <c r="E151" t="s">
        <v>58</v>
      </c>
      <c r="F151" s="24">
        <f t="shared" si="2"/>
        <v>9</v>
      </c>
    </row>
    <row r="152" spans="1:6" x14ac:dyDescent="0.35">
      <c r="A152" t="s">
        <v>39</v>
      </c>
      <c r="B152" s="2">
        <v>46052.736111111109</v>
      </c>
      <c r="C152" t="s">
        <v>57</v>
      </c>
      <c r="D152">
        <v>48.6</v>
      </c>
      <c r="E152" t="s">
        <v>58</v>
      </c>
      <c r="F152" s="24">
        <f t="shared" si="2"/>
        <v>17</v>
      </c>
    </row>
    <row r="153" spans="1:6" x14ac:dyDescent="0.35">
      <c r="A153" t="s">
        <v>11</v>
      </c>
      <c r="B153" s="2">
        <v>46057.357638888891</v>
      </c>
      <c r="C153" t="s">
        <v>55</v>
      </c>
      <c r="D153">
        <v>54.6</v>
      </c>
      <c r="E153" t="s">
        <v>56</v>
      </c>
      <c r="F153" s="24">
        <f t="shared" si="2"/>
        <v>8</v>
      </c>
    </row>
    <row r="154" spans="1:6" x14ac:dyDescent="0.35">
      <c r="A154" t="s">
        <v>45</v>
      </c>
      <c r="B154" s="2">
        <v>46049.25</v>
      </c>
      <c r="C154" t="s">
        <v>59</v>
      </c>
      <c r="D154">
        <v>73.3</v>
      </c>
      <c r="E154" t="s">
        <v>62</v>
      </c>
      <c r="F154" s="24">
        <f t="shared" si="2"/>
        <v>6</v>
      </c>
    </row>
    <row r="155" spans="1:6" x14ac:dyDescent="0.35">
      <c r="A155" t="s">
        <v>43</v>
      </c>
      <c r="B155" s="2">
        <v>46032.228472222225</v>
      </c>
      <c r="C155" t="s">
        <v>55</v>
      </c>
      <c r="D155">
        <v>85.6</v>
      </c>
      <c r="E155" t="s">
        <v>58</v>
      </c>
      <c r="F155" s="24">
        <f t="shared" si="2"/>
        <v>5</v>
      </c>
    </row>
    <row r="156" spans="1:6" x14ac:dyDescent="0.35">
      <c r="A156" t="s">
        <v>13</v>
      </c>
      <c r="B156" s="2">
        <v>46062.158333333333</v>
      </c>
      <c r="C156" t="s">
        <v>53</v>
      </c>
      <c r="D156">
        <v>40</v>
      </c>
      <c r="E156" t="s">
        <v>56</v>
      </c>
      <c r="F156" s="24">
        <f t="shared" si="2"/>
        <v>3</v>
      </c>
    </row>
    <row r="157" spans="1:6" x14ac:dyDescent="0.35">
      <c r="A157" t="s">
        <v>47</v>
      </c>
      <c r="B157" s="2">
        <v>46065.186111111114</v>
      </c>
      <c r="C157" t="s">
        <v>53</v>
      </c>
      <c r="D157">
        <v>51.8</v>
      </c>
      <c r="E157" t="s">
        <v>54</v>
      </c>
      <c r="F157" s="24">
        <f t="shared" si="2"/>
        <v>4</v>
      </c>
    </row>
    <row r="158" spans="1:6" x14ac:dyDescent="0.35">
      <c r="A158" t="s">
        <v>43</v>
      </c>
      <c r="B158" s="2">
        <v>46084.474305555559</v>
      </c>
      <c r="C158" t="s">
        <v>59</v>
      </c>
      <c r="D158">
        <v>50</v>
      </c>
      <c r="E158" t="s">
        <v>62</v>
      </c>
      <c r="F158" s="24">
        <f t="shared" si="2"/>
        <v>11</v>
      </c>
    </row>
    <row r="159" spans="1:6" x14ac:dyDescent="0.35">
      <c r="A159" t="s">
        <v>47</v>
      </c>
      <c r="B159" s="2">
        <v>46057.772916666669</v>
      </c>
      <c r="C159" t="s">
        <v>59</v>
      </c>
      <c r="D159">
        <v>33.5</v>
      </c>
      <c r="E159" t="s">
        <v>61</v>
      </c>
      <c r="F159" s="24">
        <f t="shared" si="2"/>
        <v>18</v>
      </c>
    </row>
    <row r="160" spans="1:6" x14ac:dyDescent="0.35">
      <c r="A160" t="s">
        <v>17</v>
      </c>
      <c r="B160" s="2">
        <v>46070.602777777778</v>
      </c>
      <c r="C160" t="s">
        <v>53</v>
      </c>
      <c r="D160">
        <v>13.3</v>
      </c>
      <c r="E160" t="s">
        <v>56</v>
      </c>
      <c r="F160" s="24">
        <f t="shared" si="2"/>
        <v>14</v>
      </c>
    </row>
    <row r="161" spans="1:6" x14ac:dyDescent="0.35">
      <c r="A161" t="s">
        <v>37</v>
      </c>
      <c r="B161" s="2">
        <v>46106.88958333333</v>
      </c>
      <c r="C161" t="s">
        <v>57</v>
      </c>
      <c r="D161">
        <v>44.7</v>
      </c>
      <c r="E161" t="s">
        <v>56</v>
      </c>
      <c r="F161" s="24">
        <f t="shared" si="2"/>
        <v>21</v>
      </c>
    </row>
    <row r="162" spans="1:6" x14ac:dyDescent="0.35">
      <c r="A162" t="s">
        <v>13</v>
      </c>
      <c r="B162" s="2">
        <v>46054.993750000001</v>
      </c>
      <c r="C162" t="s">
        <v>53</v>
      </c>
      <c r="D162">
        <v>25.5</v>
      </c>
      <c r="E162" t="s">
        <v>56</v>
      </c>
      <c r="F162" s="24">
        <f t="shared" si="2"/>
        <v>23</v>
      </c>
    </row>
    <row r="163" spans="1:6" x14ac:dyDescent="0.35">
      <c r="A163" t="s">
        <v>47</v>
      </c>
      <c r="B163" s="2">
        <v>46096.495138888888</v>
      </c>
      <c r="C163" t="s">
        <v>53</v>
      </c>
      <c r="D163">
        <v>34.4</v>
      </c>
      <c r="E163" t="s">
        <v>58</v>
      </c>
      <c r="F163" s="24">
        <f t="shared" si="2"/>
        <v>11</v>
      </c>
    </row>
    <row r="164" spans="1:6" x14ac:dyDescent="0.35">
      <c r="A164" t="s">
        <v>27</v>
      </c>
      <c r="B164" s="2">
        <v>46052.634722222225</v>
      </c>
      <c r="C164" t="s">
        <v>57</v>
      </c>
      <c r="D164">
        <v>13.5</v>
      </c>
      <c r="E164" t="s">
        <v>60</v>
      </c>
      <c r="F164" s="24">
        <f t="shared" si="2"/>
        <v>15</v>
      </c>
    </row>
    <row r="165" spans="1:6" x14ac:dyDescent="0.35">
      <c r="A165" t="s">
        <v>17</v>
      </c>
      <c r="B165" s="2">
        <v>46079.943749999999</v>
      </c>
      <c r="C165" t="s">
        <v>55</v>
      </c>
      <c r="D165">
        <v>146</v>
      </c>
      <c r="E165" t="s">
        <v>54</v>
      </c>
      <c r="F165" s="24">
        <f t="shared" si="2"/>
        <v>22</v>
      </c>
    </row>
    <row r="166" spans="1:6" x14ac:dyDescent="0.35">
      <c r="A166" t="s">
        <v>35</v>
      </c>
      <c r="B166" s="2">
        <v>46066.612500000003</v>
      </c>
      <c r="C166" t="s">
        <v>59</v>
      </c>
      <c r="D166">
        <v>50.9</v>
      </c>
      <c r="E166" t="s">
        <v>62</v>
      </c>
      <c r="F166" s="24">
        <f t="shared" si="2"/>
        <v>14</v>
      </c>
    </row>
    <row r="167" spans="1:6" x14ac:dyDescent="0.35">
      <c r="A167" t="s">
        <v>25</v>
      </c>
      <c r="B167" s="2">
        <v>46057.229861111111</v>
      </c>
      <c r="C167" t="s">
        <v>57</v>
      </c>
      <c r="D167">
        <v>41.8</v>
      </c>
      <c r="E167" t="s">
        <v>61</v>
      </c>
      <c r="F167" s="24">
        <f t="shared" si="2"/>
        <v>5</v>
      </c>
    </row>
    <row r="168" spans="1:6" x14ac:dyDescent="0.35">
      <c r="A168" t="s">
        <v>37</v>
      </c>
      <c r="B168" s="2">
        <v>46053.672222222223</v>
      </c>
      <c r="C168" t="s">
        <v>57</v>
      </c>
      <c r="D168">
        <v>40.4</v>
      </c>
      <c r="E168" t="s">
        <v>58</v>
      </c>
      <c r="F168" s="24">
        <f t="shared" si="2"/>
        <v>16</v>
      </c>
    </row>
    <row r="169" spans="1:6" x14ac:dyDescent="0.35">
      <c r="A169" t="s">
        <v>13</v>
      </c>
      <c r="B169" s="2">
        <v>46083.058333333334</v>
      </c>
      <c r="C169" t="s">
        <v>53</v>
      </c>
      <c r="D169">
        <v>19.3</v>
      </c>
      <c r="E169" t="s">
        <v>61</v>
      </c>
      <c r="F169" s="24">
        <f t="shared" si="2"/>
        <v>1</v>
      </c>
    </row>
    <row r="170" spans="1:6" x14ac:dyDescent="0.35">
      <c r="A170" t="s">
        <v>23</v>
      </c>
      <c r="B170" s="2">
        <v>46040.093055555553</v>
      </c>
      <c r="C170" t="s">
        <v>53</v>
      </c>
      <c r="D170">
        <v>60</v>
      </c>
      <c r="E170" t="s">
        <v>62</v>
      </c>
      <c r="F170" s="24">
        <f t="shared" si="2"/>
        <v>2</v>
      </c>
    </row>
    <row r="171" spans="1:6" x14ac:dyDescent="0.35">
      <c r="A171" t="s">
        <v>11</v>
      </c>
      <c r="B171" s="2">
        <v>46069.226388888892</v>
      </c>
      <c r="C171" t="s">
        <v>55</v>
      </c>
      <c r="D171">
        <v>142.30000000000001</v>
      </c>
      <c r="E171" t="s">
        <v>58</v>
      </c>
      <c r="F171" s="24">
        <f t="shared" si="2"/>
        <v>5</v>
      </c>
    </row>
    <row r="172" spans="1:6" x14ac:dyDescent="0.35">
      <c r="A172" t="s">
        <v>13</v>
      </c>
      <c r="B172" s="2">
        <v>46084.793055555558</v>
      </c>
      <c r="C172" t="s">
        <v>59</v>
      </c>
      <c r="D172">
        <v>51.1</v>
      </c>
      <c r="E172" t="s">
        <v>58</v>
      </c>
      <c r="F172" s="24">
        <f t="shared" si="2"/>
        <v>19</v>
      </c>
    </row>
    <row r="173" spans="1:6" x14ac:dyDescent="0.35">
      <c r="A173" t="s">
        <v>15</v>
      </c>
      <c r="B173" s="2">
        <v>46052.147916666669</v>
      </c>
      <c r="C173" t="s">
        <v>53</v>
      </c>
      <c r="D173">
        <v>7.2</v>
      </c>
      <c r="E173" t="s">
        <v>60</v>
      </c>
      <c r="F173" s="24">
        <f t="shared" si="2"/>
        <v>3</v>
      </c>
    </row>
    <row r="174" spans="1:6" x14ac:dyDescent="0.35">
      <c r="A174" t="s">
        <v>45</v>
      </c>
      <c r="B174" s="2">
        <v>46070.175000000003</v>
      </c>
      <c r="C174" t="s">
        <v>57</v>
      </c>
      <c r="D174">
        <v>6.1</v>
      </c>
      <c r="E174" t="s">
        <v>54</v>
      </c>
      <c r="F174" s="24">
        <f t="shared" si="2"/>
        <v>4</v>
      </c>
    </row>
    <row r="175" spans="1:6" x14ac:dyDescent="0.35">
      <c r="A175" t="s">
        <v>11</v>
      </c>
      <c r="B175" s="2">
        <v>46088.730555555558</v>
      </c>
      <c r="C175" t="s">
        <v>53</v>
      </c>
      <c r="D175">
        <v>34.6</v>
      </c>
      <c r="E175" t="s">
        <v>58</v>
      </c>
      <c r="F175" s="24">
        <f t="shared" si="2"/>
        <v>17</v>
      </c>
    </row>
    <row r="176" spans="1:6" x14ac:dyDescent="0.35">
      <c r="A176" t="s">
        <v>29</v>
      </c>
      <c r="B176" s="2">
        <v>46104.263888888891</v>
      </c>
      <c r="C176" t="s">
        <v>53</v>
      </c>
      <c r="D176">
        <v>49.3</v>
      </c>
      <c r="E176" t="s">
        <v>61</v>
      </c>
      <c r="F176" s="24">
        <f t="shared" si="2"/>
        <v>6</v>
      </c>
    </row>
    <row r="177" spans="1:6" x14ac:dyDescent="0.35">
      <c r="A177" t="s">
        <v>33</v>
      </c>
      <c r="B177" s="2">
        <v>46089.800694444442</v>
      </c>
      <c r="C177" t="s">
        <v>57</v>
      </c>
      <c r="D177">
        <v>6.9</v>
      </c>
      <c r="E177" t="s">
        <v>61</v>
      </c>
      <c r="F177" s="24">
        <f t="shared" si="2"/>
        <v>19</v>
      </c>
    </row>
    <row r="178" spans="1:6" x14ac:dyDescent="0.35">
      <c r="A178" t="s">
        <v>31</v>
      </c>
      <c r="B178" s="2">
        <v>46047.871527777781</v>
      </c>
      <c r="C178" t="s">
        <v>55</v>
      </c>
      <c r="D178">
        <v>56.4</v>
      </c>
      <c r="E178" t="s">
        <v>58</v>
      </c>
      <c r="F178" s="24">
        <f t="shared" si="2"/>
        <v>20</v>
      </c>
    </row>
    <row r="179" spans="1:6" x14ac:dyDescent="0.35">
      <c r="A179" t="s">
        <v>29</v>
      </c>
      <c r="B179" s="2">
        <v>46040.744444444441</v>
      </c>
      <c r="C179" t="s">
        <v>53</v>
      </c>
      <c r="D179">
        <v>22.6</v>
      </c>
      <c r="E179" t="s">
        <v>56</v>
      </c>
      <c r="F179" s="24">
        <f t="shared" si="2"/>
        <v>17</v>
      </c>
    </row>
    <row r="180" spans="1:6" x14ac:dyDescent="0.35">
      <c r="A180" t="s">
        <v>25</v>
      </c>
      <c r="B180" s="2">
        <v>46032.486111111109</v>
      </c>
      <c r="C180" t="s">
        <v>57</v>
      </c>
      <c r="D180">
        <v>57.6</v>
      </c>
      <c r="E180" t="s">
        <v>54</v>
      </c>
      <c r="F180" s="24">
        <f t="shared" si="2"/>
        <v>11</v>
      </c>
    </row>
    <row r="181" spans="1:6" x14ac:dyDescent="0.35">
      <c r="A181" t="s">
        <v>45</v>
      </c>
      <c r="B181" s="2">
        <v>46079.072916666664</v>
      </c>
      <c r="C181" t="s">
        <v>59</v>
      </c>
      <c r="D181">
        <v>68.099999999999994</v>
      </c>
      <c r="E181" t="s">
        <v>60</v>
      </c>
      <c r="F181" s="24">
        <f t="shared" si="2"/>
        <v>1</v>
      </c>
    </row>
    <row r="182" spans="1:6" x14ac:dyDescent="0.35">
      <c r="A182" t="s">
        <v>21</v>
      </c>
      <c r="B182" s="2">
        <v>46105.809027777781</v>
      </c>
      <c r="C182" t="s">
        <v>55</v>
      </c>
      <c r="D182">
        <v>105.2</v>
      </c>
      <c r="E182" t="s">
        <v>56</v>
      </c>
      <c r="F182" s="24">
        <f t="shared" si="2"/>
        <v>19</v>
      </c>
    </row>
    <row r="183" spans="1:6" x14ac:dyDescent="0.35">
      <c r="A183" t="s">
        <v>33</v>
      </c>
      <c r="B183" s="2">
        <v>46061.851388888892</v>
      </c>
      <c r="C183" t="s">
        <v>57</v>
      </c>
      <c r="D183">
        <v>29.4</v>
      </c>
      <c r="E183" t="s">
        <v>61</v>
      </c>
      <c r="F183" s="24">
        <f t="shared" si="2"/>
        <v>20</v>
      </c>
    </row>
    <row r="184" spans="1:6" x14ac:dyDescent="0.35">
      <c r="A184" t="s">
        <v>29</v>
      </c>
      <c r="B184" s="2">
        <v>46048.76458333333</v>
      </c>
      <c r="C184" t="s">
        <v>55</v>
      </c>
      <c r="D184">
        <v>139.9</v>
      </c>
      <c r="E184" t="s">
        <v>60</v>
      </c>
      <c r="F184" s="24">
        <f t="shared" si="2"/>
        <v>18</v>
      </c>
    </row>
    <row r="185" spans="1:6" x14ac:dyDescent="0.35">
      <c r="A185" t="s">
        <v>47</v>
      </c>
      <c r="B185" s="2">
        <v>46103.640972222223</v>
      </c>
      <c r="C185" t="s">
        <v>55</v>
      </c>
      <c r="D185">
        <v>40.6</v>
      </c>
      <c r="E185" t="s">
        <v>58</v>
      </c>
      <c r="F185" s="24">
        <f t="shared" si="2"/>
        <v>15</v>
      </c>
    </row>
    <row r="186" spans="1:6" x14ac:dyDescent="0.35">
      <c r="A186" t="s">
        <v>31</v>
      </c>
      <c r="B186" s="2">
        <v>46031.838888888888</v>
      </c>
      <c r="C186" t="s">
        <v>57</v>
      </c>
      <c r="D186">
        <v>40.200000000000003</v>
      </c>
      <c r="E186" t="s">
        <v>61</v>
      </c>
      <c r="F186" s="24">
        <f t="shared" si="2"/>
        <v>20</v>
      </c>
    </row>
    <row r="187" spans="1:6" x14ac:dyDescent="0.35">
      <c r="A187" t="s">
        <v>21</v>
      </c>
      <c r="B187" s="2">
        <v>46108.475694444445</v>
      </c>
      <c r="C187" t="s">
        <v>53</v>
      </c>
      <c r="D187">
        <v>40.4</v>
      </c>
      <c r="E187" t="s">
        <v>56</v>
      </c>
      <c r="F187" s="24">
        <f t="shared" si="2"/>
        <v>11</v>
      </c>
    </row>
    <row r="188" spans="1:6" x14ac:dyDescent="0.35">
      <c r="A188" t="s">
        <v>23</v>
      </c>
      <c r="B188" s="2">
        <v>46026.27847222222</v>
      </c>
      <c r="C188" t="s">
        <v>57</v>
      </c>
      <c r="D188">
        <v>14.4</v>
      </c>
      <c r="E188" t="s">
        <v>60</v>
      </c>
      <c r="F188" s="24">
        <f t="shared" si="2"/>
        <v>6</v>
      </c>
    </row>
    <row r="189" spans="1:6" x14ac:dyDescent="0.35">
      <c r="A189" t="s">
        <v>25</v>
      </c>
      <c r="B189" s="2">
        <v>46056.310416666667</v>
      </c>
      <c r="C189" t="s">
        <v>57</v>
      </c>
      <c r="D189">
        <v>55.5</v>
      </c>
      <c r="E189" t="s">
        <v>60</v>
      </c>
      <c r="F189" s="24">
        <f t="shared" si="2"/>
        <v>7</v>
      </c>
    </row>
    <row r="190" spans="1:6" x14ac:dyDescent="0.35">
      <c r="A190" t="s">
        <v>39</v>
      </c>
      <c r="B190" s="2">
        <v>46071.966666666667</v>
      </c>
      <c r="C190" t="s">
        <v>59</v>
      </c>
      <c r="D190">
        <v>28.3</v>
      </c>
      <c r="E190" t="s">
        <v>61</v>
      </c>
      <c r="F190" s="24">
        <f t="shared" si="2"/>
        <v>23</v>
      </c>
    </row>
    <row r="191" spans="1:6" x14ac:dyDescent="0.35">
      <c r="A191" t="s">
        <v>41</v>
      </c>
      <c r="B191" s="2">
        <v>46100.331944444442</v>
      </c>
      <c r="C191" t="s">
        <v>57</v>
      </c>
      <c r="D191">
        <v>18.600000000000001</v>
      </c>
      <c r="E191" t="s">
        <v>58</v>
      </c>
      <c r="F191" s="24">
        <f t="shared" si="2"/>
        <v>7</v>
      </c>
    </row>
    <row r="192" spans="1:6" x14ac:dyDescent="0.35">
      <c r="A192" t="s">
        <v>23</v>
      </c>
      <c r="B192" s="2">
        <v>46066.279861111114</v>
      </c>
      <c r="C192" t="s">
        <v>53</v>
      </c>
      <c r="D192">
        <v>26.9</v>
      </c>
      <c r="E192" t="s">
        <v>54</v>
      </c>
      <c r="F192" s="24">
        <f t="shared" si="2"/>
        <v>6</v>
      </c>
    </row>
    <row r="193" spans="1:6" x14ac:dyDescent="0.35">
      <c r="A193" t="s">
        <v>13</v>
      </c>
      <c r="B193" s="2">
        <v>46062.867361111108</v>
      </c>
      <c r="C193" t="s">
        <v>53</v>
      </c>
      <c r="D193">
        <v>58.8</v>
      </c>
      <c r="E193" t="s">
        <v>61</v>
      </c>
      <c r="F193" s="24">
        <f t="shared" si="2"/>
        <v>20</v>
      </c>
    </row>
    <row r="194" spans="1:6" x14ac:dyDescent="0.35">
      <c r="A194" t="s">
        <v>37</v>
      </c>
      <c r="B194" s="2">
        <v>46096.549305555556</v>
      </c>
      <c r="C194" t="s">
        <v>55</v>
      </c>
      <c r="D194">
        <v>49.3</v>
      </c>
      <c r="E194" t="s">
        <v>60</v>
      </c>
      <c r="F194" s="24">
        <f t="shared" si="2"/>
        <v>13</v>
      </c>
    </row>
    <row r="195" spans="1:6" x14ac:dyDescent="0.35">
      <c r="A195" t="s">
        <v>41</v>
      </c>
      <c r="B195" s="2">
        <v>46097.876388888886</v>
      </c>
      <c r="C195" t="s">
        <v>57</v>
      </c>
      <c r="D195">
        <v>46.7</v>
      </c>
      <c r="E195" t="s">
        <v>61</v>
      </c>
      <c r="F195" s="24">
        <f t="shared" ref="F195:F258" si="3">HOUR(B195)</f>
        <v>21</v>
      </c>
    </row>
    <row r="196" spans="1:6" x14ac:dyDescent="0.35">
      <c r="A196" t="s">
        <v>23</v>
      </c>
      <c r="B196" s="2">
        <v>46081.921527777777</v>
      </c>
      <c r="C196" t="s">
        <v>59</v>
      </c>
      <c r="D196">
        <v>84.7</v>
      </c>
      <c r="E196" t="s">
        <v>60</v>
      </c>
      <c r="F196" s="24">
        <f t="shared" si="3"/>
        <v>22</v>
      </c>
    </row>
    <row r="197" spans="1:6" x14ac:dyDescent="0.35">
      <c r="A197" t="s">
        <v>21</v>
      </c>
      <c r="B197" s="2">
        <v>46074.090277777781</v>
      </c>
      <c r="C197" t="s">
        <v>59</v>
      </c>
      <c r="D197">
        <v>37.200000000000003</v>
      </c>
      <c r="E197" t="s">
        <v>61</v>
      </c>
      <c r="F197" s="24">
        <f t="shared" si="3"/>
        <v>2</v>
      </c>
    </row>
    <row r="198" spans="1:6" x14ac:dyDescent="0.35">
      <c r="A198" t="s">
        <v>33</v>
      </c>
      <c r="B198" s="2">
        <v>46055.3</v>
      </c>
      <c r="C198" t="s">
        <v>57</v>
      </c>
      <c r="D198">
        <v>29.3</v>
      </c>
      <c r="E198" t="s">
        <v>54</v>
      </c>
      <c r="F198" s="24">
        <f t="shared" si="3"/>
        <v>7</v>
      </c>
    </row>
    <row r="199" spans="1:6" x14ac:dyDescent="0.35">
      <c r="A199" t="s">
        <v>11</v>
      </c>
      <c r="B199" s="2">
        <v>46087.270833333336</v>
      </c>
      <c r="C199" t="s">
        <v>55</v>
      </c>
      <c r="D199">
        <v>91.8</v>
      </c>
      <c r="E199" t="s">
        <v>61</v>
      </c>
      <c r="F199" s="24">
        <f t="shared" si="3"/>
        <v>6</v>
      </c>
    </row>
    <row r="200" spans="1:6" x14ac:dyDescent="0.35">
      <c r="A200" t="s">
        <v>37</v>
      </c>
      <c r="B200" s="2">
        <v>46086.979166666664</v>
      </c>
      <c r="C200" t="s">
        <v>57</v>
      </c>
      <c r="D200">
        <v>11.3</v>
      </c>
      <c r="E200" t="s">
        <v>54</v>
      </c>
      <c r="F200" s="24">
        <f t="shared" si="3"/>
        <v>23</v>
      </c>
    </row>
    <row r="201" spans="1:6" x14ac:dyDescent="0.35">
      <c r="A201" t="s">
        <v>35</v>
      </c>
      <c r="B201" s="2">
        <v>46031.907638888886</v>
      </c>
      <c r="C201" t="s">
        <v>55</v>
      </c>
      <c r="D201">
        <v>130.19999999999999</v>
      </c>
      <c r="E201" t="s">
        <v>61</v>
      </c>
      <c r="F201" s="24">
        <f t="shared" si="3"/>
        <v>21</v>
      </c>
    </row>
    <row r="202" spans="1:6" x14ac:dyDescent="0.35">
      <c r="A202" t="s">
        <v>11</v>
      </c>
      <c r="B202" s="2">
        <v>46041.609027777777</v>
      </c>
      <c r="C202" t="s">
        <v>57</v>
      </c>
      <c r="D202">
        <v>50.2</v>
      </c>
      <c r="E202" t="s">
        <v>56</v>
      </c>
      <c r="F202" s="24">
        <f t="shared" si="3"/>
        <v>14</v>
      </c>
    </row>
    <row r="203" spans="1:6" x14ac:dyDescent="0.35">
      <c r="A203" t="s">
        <v>19</v>
      </c>
      <c r="B203" s="2">
        <v>46051.298611111109</v>
      </c>
      <c r="C203" t="s">
        <v>59</v>
      </c>
      <c r="D203">
        <v>133.19999999999999</v>
      </c>
      <c r="E203" t="s">
        <v>62</v>
      </c>
      <c r="F203" s="24">
        <f t="shared" si="3"/>
        <v>7</v>
      </c>
    </row>
    <row r="204" spans="1:6" x14ac:dyDescent="0.35">
      <c r="A204" t="s">
        <v>45</v>
      </c>
      <c r="B204" s="2">
        <v>46062.135416666664</v>
      </c>
      <c r="C204" t="s">
        <v>57</v>
      </c>
      <c r="D204">
        <v>5.2</v>
      </c>
      <c r="E204" t="s">
        <v>62</v>
      </c>
      <c r="F204" s="24">
        <f t="shared" si="3"/>
        <v>3</v>
      </c>
    </row>
    <row r="205" spans="1:6" x14ac:dyDescent="0.35">
      <c r="A205" t="s">
        <v>17</v>
      </c>
      <c r="B205" s="2">
        <v>46069.135416666664</v>
      </c>
      <c r="C205" t="s">
        <v>55</v>
      </c>
      <c r="D205">
        <v>21.8</v>
      </c>
      <c r="E205" t="s">
        <v>54</v>
      </c>
      <c r="F205" s="24">
        <f t="shared" si="3"/>
        <v>3</v>
      </c>
    </row>
    <row r="206" spans="1:6" x14ac:dyDescent="0.35">
      <c r="A206" t="s">
        <v>47</v>
      </c>
      <c r="B206" s="2">
        <v>46033.905555555553</v>
      </c>
      <c r="C206" t="s">
        <v>53</v>
      </c>
      <c r="D206">
        <v>18.5</v>
      </c>
      <c r="E206" t="s">
        <v>62</v>
      </c>
      <c r="F206" s="24">
        <f t="shared" si="3"/>
        <v>21</v>
      </c>
    </row>
    <row r="207" spans="1:6" x14ac:dyDescent="0.35">
      <c r="A207" t="s">
        <v>35</v>
      </c>
      <c r="B207" s="2">
        <v>46102.274305555555</v>
      </c>
      <c r="C207" t="s">
        <v>53</v>
      </c>
      <c r="D207">
        <v>31.7</v>
      </c>
      <c r="E207" t="s">
        <v>54</v>
      </c>
      <c r="F207" s="24">
        <f t="shared" si="3"/>
        <v>6</v>
      </c>
    </row>
    <row r="208" spans="1:6" x14ac:dyDescent="0.35">
      <c r="A208" t="s">
        <v>21</v>
      </c>
      <c r="B208" s="2">
        <v>46036.164583333331</v>
      </c>
      <c r="C208" t="s">
        <v>53</v>
      </c>
      <c r="D208">
        <v>26.5</v>
      </c>
      <c r="E208" t="s">
        <v>60</v>
      </c>
      <c r="F208" s="24">
        <f t="shared" si="3"/>
        <v>3</v>
      </c>
    </row>
    <row r="209" spans="1:6" x14ac:dyDescent="0.35">
      <c r="A209" t="s">
        <v>31</v>
      </c>
      <c r="B209" s="2">
        <v>46024.740277777775</v>
      </c>
      <c r="C209" t="s">
        <v>57</v>
      </c>
      <c r="D209">
        <v>57.9</v>
      </c>
      <c r="E209" t="s">
        <v>61</v>
      </c>
      <c r="F209" s="24">
        <f t="shared" si="3"/>
        <v>17</v>
      </c>
    </row>
    <row r="210" spans="1:6" x14ac:dyDescent="0.35">
      <c r="A210" t="s">
        <v>25</v>
      </c>
      <c r="B210" s="2">
        <v>46039.95416666667</v>
      </c>
      <c r="C210" t="s">
        <v>57</v>
      </c>
      <c r="D210">
        <v>39.299999999999997</v>
      </c>
      <c r="E210" t="s">
        <v>60</v>
      </c>
      <c r="F210" s="24">
        <f t="shared" si="3"/>
        <v>22</v>
      </c>
    </row>
    <row r="211" spans="1:6" x14ac:dyDescent="0.35">
      <c r="A211" t="s">
        <v>29</v>
      </c>
      <c r="B211" s="2">
        <v>46056.124305555553</v>
      </c>
      <c r="C211" t="s">
        <v>53</v>
      </c>
      <c r="D211">
        <v>6</v>
      </c>
      <c r="E211" t="s">
        <v>54</v>
      </c>
      <c r="F211" s="24">
        <f t="shared" si="3"/>
        <v>2</v>
      </c>
    </row>
    <row r="212" spans="1:6" x14ac:dyDescent="0.35">
      <c r="A212" t="s">
        <v>47</v>
      </c>
      <c r="B212" s="2">
        <v>46087.094444444447</v>
      </c>
      <c r="C212" t="s">
        <v>53</v>
      </c>
      <c r="D212">
        <v>41.6</v>
      </c>
      <c r="E212" t="s">
        <v>61</v>
      </c>
      <c r="F212" s="24">
        <f t="shared" si="3"/>
        <v>2</v>
      </c>
    </row>
    <row r="213" spans="1:6" x14ac:dyDescent="0.35">
      <c r="A213" t="s">
        <v>35</v>
      </c>
      <c r="B213" s="2">
        <v>46066.130555555559</v>
      </c>
      <c r="C213" t="s">
        <v>53</v>
      </c>
      <c r="D213">
        <v>41.8</v>
      </c>
      <c r="E213" t="s">
        <v>60</v>
      </c>
      <c r="F213" s="24">
        <f t="shared" si="3"/>
        <v>3</v>
      </c>
    </row>
    <row r="214" spans="1:6" x14ac:dyDescent="0.35">
      <c r="A214" t="s">
        <v>13</v>
      </c>
      <c r="B214" s="2">
        <v>46099.804861111108</v>
      </c>
      <c r="C214" t="s">
        <v>55</v>
      </c>
      <c r="D214">
        <v>134.9</v>
      </c>
      <c r="E214" t="s">
        <v>61</v>
      </c>
      <c r="F214" s="24">
        <f t="shared" si="3"/>
        <v>19</v>
      </c>
    </row>
    <row r="215" spans="1:6" x14ac:dyDescent="0.35">
      <c r="A215" t="s">
        <v>41</v>
      </c>
      <c r="B215" s="2">
        <v>46059.216666666667</v>
      </c>
      <c r="C215" t="s">
        <v>57</v>
      </c>
      <c r="D215">
        <v>48.1</v>
      </c>
      <c r="E215" t="s">
        <v>58</v>
      </c>
      <c r="F215" s="24">
        <f t="shared" si="3"/>
        <v>5</v>
      </c>
    </row>
    <row r="216" spans="1:6" x14ac:dyDescent="0.35">
      <c r="A216" t="s">
        <v>23</v>
      </c>
      <c r="B216" s="2">
        <v>46032.104166666664</v>
      </c>
      <c r="C216" t="s">
        <v>57</v>
      </c>
      <c r="D216">
        <v>29.5</v>
      </c>
      <c r="E216" t="s">
        <v>56</v>
      </c>
      <c r="F216" s="24">
        <f t="shared" si="3"/>
        <v>2</v>
      </c>
    </row>
    <row r="217" spans="1:6" x14ac:dyDescent="0.35">
      <c r="A217" t="s">
        <v>39</v>
      </c>
      <c r="B217" s="2">
        <v>46062.44027777778</v>
      </c>
      <c r="C217" t="s">
        <v>55</v>
      </c>
      <c r="D217">
        <v>107</v>
      </c>
      <c r="E217" t="s">
        <v>60</v>
      </c>
      <c r="F217" s="24">
        <f t="shared" si="3"/>
        <v>10</v>
      </c>
    </row>
    <row r="218" spans="1:6" x14ac:dyDescent="0.35">
      <c r="A218" t="s">
        <v>41</v>
      </c>
      <c r="B218" s="2">
        <v>46093.959027777775</v>
      </c>
      <c r="C218" t="s">
        <v>59</v>
      </c>
      <c r="D218">
        <v>77.099999999999994</v>
      </c>
      <c r="E218" t="s">
        <v>56</v>
      </c>
      <c r="F218" s="24">
        <f t="shared" si="3"/>
        <v>23</v>
      </c>
    </row>
    <row r="219" spans="1:6" x14ac:dyDescent="0.35">
      <c r="A219" t="s">
        <v>25</v>
      </c>
      <c r="B219" s="2">
        <v>46084.547222222223</v>
      </c>
      <c r="C219" t="s">
        <v>53</v>
      </c>
      <c r="D219">
        <v>44.7</v>
      </c>
      <c r="E219" t="s">
        <v>54</v>
      </c>
      <c r="F219" s="24">
        <f t="shared" si="3"/>
        <v>13</v>
      </c>
    </row>
    <row r="220" spans="1:6" x14ac:dyDescent="0.35">
      <c r="A220" t="s">
        <v>47</v>
      </c>
      <c r="B220" s="2">
        <v>46040.295138888891</v>
      </c>
      <c r="C220" t="s">
        <v>59</v>
      </c>
      <c r="D220">
        <v>99.6</v>
      </c>
      <c r="E220" t="s">
        <v>60</v>
      </c>
      <c r="F220" s="24">
        <f t="shared" si="3"/>
        <v>7</v>
      </c>
    </row>
    <row r="221" spans="1:6" x14ac:dyDescent="0.35">
      <c r="A221" t="s">
        <v>29</v>
      </c>
      <c r="B221" s="2">
        <v>46066.180555555555</v>
      </c>
      <c r="C221" t="s">
        <v>53</v>
      </c>
      <c r="D221">
        <v>21.3</v>
      </c>
      <c r="E221" t="s">
        <v>56</v>
      </c>
      <c r="F221" s="24">
        <f t="shared" si="3"/>
        <v>4</v>
      </c>
    </row>
    <row r="222" spans="1:6" x14ac:dyDescent="0.35">
      <c r="A222" t="s">
        <v>41</v>
      </c>
      <c r="B222" s="2">
        <v>46029.684027777781</v>
      </c>
      <c r="C222" t="s">
        <v>55</v>
      </c>
      <c r="D222">
        <v>75.3</v>
      </c>
      <c r="E222" t="s">
        <v>61</v>
      </c>
      <c r="F222" s="24">
        <f t="shared" si="3"/>
        <v>16</v>
      </c>
    </row>
    <row r="223" spans="1:6" x14ac:dyDescent="0.35">
      <c r="A223" t="s">
        <v>21</v>
      </c>
      <c r="B223" s="2">
        <v>46056.304166666669</v>
      </c>
      <c r="C223" t="s">
        <v>53</v>
      </c>
      <c r="D223">
        <v>41.9</v>
      </c>
      <c r="E223" t="s">
        <v>56</v>
      </c>
      <c r="F223" s="24">
        <f t="shared" si="3"/>
        <v>7</v>
      </c>
    </row>
    <row r="224" spans="1:6" x14ac:dyDescent="0.35">
      <c r="A224" t="s">
        <v>35</v>
      </c>
      <c r="B224" s="2">
        <v>46032.259027777778</v>
      </c>
      <c r="C224" t="s">
        <v>57</v>
      </c>
      <c r="D224">
        <v>33.200000000000003</v>
      </c>
      <c r="E224" t="s">
        <v>61</v>
      </c>
      <c r="F224" s="24">
        <f t="shared" si="3"/>
        <v>6</v>
      </c>
    </row>
    <row r="225" spans="1:6" x14ac:dyDescent="0.35">
      <c r="A225" t="s">
        <v>29</v>
      </c>
      <c r="B225" s="2">
        <v>46039.424305555556</v>
      </c>
      <c r="C225" t="s">
        <v>55</v>
      </c>
      <c r="D225">
        <v>30.5</v>
      </c>
      <c r="E225" t="s">
        <v>62</v>
      </c>
      <c r="F225" s="24">
        <f t="shared" si="3"/>
        <v>10</v>
      </c>
    </row>
    <row r="226" spans="1:6" x14ac:dyDescent="0.35">
      <c r="A226" t="s">
        <v>19</v>
      </c>
      <c r="B226" s="2">
        <v>46076.994444444441</v>
      </c>
      <c r="C226" t="s">
        <v>53</v>
      </c>
      <c r="D226">
        <v>46.4</v>
      </c>
      <c r="E226" t="s">
        <v>54</v>
      </c>
      <c r="F226" s="24">
        <f t="shared" si="3"/>
        <v>23</v>
      </c>
    </row>
    <row r="227" spans="1:6" x14ac:dyDescent="0.35">
      <c r="A227" t="s">
        <v>29</v>
      </c>
      <c r="B227" s="2">
        <v>46087.791666666664</v>
      </c>
      <c r="C227" t="s">
        <v>57</v>
      </c>
      <c r="D227">
        <v>29.1</v>
      </c>
      <c r="E227" t="s">
        <v>56</v>
      </c>
      <c r="F227" s="24">
        <f t="shared" si="3"/>
        <v>19</v>
      </c>
    </row>
    <row r="228" spans="1:6" x14ac:dyDescent="0.35">
      <c r="A228" t="s">
        <v>29</v>
      </c>
      <c r="B228" s="2">
        <v>46062.40902777778</v>
      </c>
      <c r="C228" t="s">
        <v>59</v>
      </c>
      <c r="D228">
        <v>114.4</v>
      </c>
      <c r="E228" t="s">
        <v>56</v>
      </c>
      <c r="F228" s="24">
        <f t="shared" si="3"/>
        <v>9</v>
      </c>
    </row>
    <row r="229" spans="1:6" x14ac:dyDescent="0.35">
      <c r="A229" t="s">
        <v>35</v>
      </c>
      <c r="B229" s="2">
        <v>46051.037499999999</v>
      </c>
      <c r="C229" t="s">
        <v>59</v>
      </c>
      <c r="D229">
        <v>67.400000000000006</v>
      </c>
      <c r="E229" t="s">
        <v>56</v>
      </c>
      <c r="F229" s="24">
        <f t="shared" si="3"/>
        <v>0</v>
      </c>
    </row>
    <row r="230" spans="1:6" x14ac:dyDescent="0.35">
      <c r="A230" t="s">
        <v>15</v>
      </c>
      <c r="B230" s="2">
        <v>46108.75277777778</v>
      </c>
      <c r="C230" t="s">
        <v>57</v>
      </c>
      <c r="D230">
        <v>47.1</v>
      </c>
      <c r="E230" t="s">
        <v>56</v>
      </c>
      <c r="F230" s="24">
        <f t="shared" si="3"/>
        <v>18</v>
      </c>
    </row>
    <row r="231" spans="1:6" x14ac:dyDescent="0.35">
      <c r="A231" t="s">
        <v>27</v>
      </c>
      <c r="B231" s="2">
        <v>46093.171527777777</v>
      </c>
      <c r="C231" t="s">
        <v>57</v>
      </c>
      <c r="D231">
        <v>14.8</v>
      </c>
      <c r="E231" t="s">
        <v>60</v>
      </c>
      <c r="F231" s="24">
        <f t="shared" si="3"/>
        <v>4</v>
      </c>
    </row>
    <row r="232" spans="1:6" x14ac:dyDescent="0.35">
      <c r="A232" t="s">
        <v>13</v>
      </c>
      <c r="B232" s="2">
        <v>46091.666666666664</v>
      </c>
      <c r="C232" t="s">
        <v>59</v>
      </c>
      <c r="D232">
        <v>134.30000000000001</v>
      </c>
      <c r="E232" t="s">
        <v>56</v>
      </c>
      <c r="F232" s="24">
        <f t="shared" si="3"/>
        <v>16</v>
      </c>
    </row>
    <row r="233" spans="1:6" x14ac:dyDescent="0.35">
      <c r="A233" t="s">
        <v>35</v>
      </c>
      <c r="B233" s="2">
        <v>46084.911111111112</v>
      </c>
      <c r="C233" t="s">
        <v>55</v>
      </c>
      <c r="D233">
        <v>43.6</v>
      </c>
      <c r="E233" t="s">
        <v>58</v>
      </c>
      <c r="F233" s="24">
        <f t="shared" si="3"/>
        <v>21</v>
      </c>
    </row>
    <row r="234" spans="1:6" x14ac:dyDescent="0.35">
      <c r="A234" t="s">
        <v>43</v>
      </c>
      <c r="B234" s="2">
        <v>46035.037499999999</v>
      </c>
      <c r="C234" t="s">
        <v>55</v>
      </c>
      <c r="D234">
        <v>47.6</v>
      </c>
      <c r="E234" t="s">
        <v>61</v>
      </c>
      <c r="F234" s="24">
        <f t="shared" si="3"/>
        <v>0</v>
      </c>
    </row>
    <row r="235" spans="1:6" x14ac:dyDescent="0.35">
      <c r="A235" t="s">
        <v>39</v>
      </c>
      <c r="B235" s="2">
        <v>46099.847916666666</v>
      </c>
      <c r="C235" t="s">
        <v>59</v>
      </c>
      <c r="D235">
        <v>89.7</v>
      </c>
      <c r="E235" t="s">
        <v>56</v>
      </c>
      <c r="F235" s="24">
        <f t="shared" si="3"/>
        <v>20</v>
      </c>
    </row>
    <row r="236" spans="1:6" x14ac:dyDescent="0.35">
      <c r="A236" t="s">
        <v>33</v>
      </c>
      <c r="B236" s="2">
        <v>46060.229861111111</v>
      </c>
      <c r="C236" t="s">
        <v>59</v>
      </c>
      <c r="D236">
        <v>72.3</v>
      </c>
      <c r="E236" t="s">
        <v>56</v>
      </c>
      <c r="F236" s="24">
        <f t="shared" si="3"/>
        <v>5</v>
      </c>
    </row>
    <row r="237" spans="1:6" x14ac:dyDescent="0.35">
      <c r="A237" t="s">
        <v>23</v>
      </c>
      <c r="B237" s="2">
        <v>46101.659722222219</v>
      </c>
      <c r="C237" t="s">
        <v>53</v>
      </c>
      <c r="D237">
        <v>44.6</v>
      </c>
      <c r="E237" t="s">
        <v>56</v>
      </c>
      <c r="F237" s="24">
        <f t="shared" si="3"/>
        <v>15</v>
      </c>
    </row>
    <row r="238" spans="1:6" x14ac:dyDescent="0.35">
      <c r="A238" t="s">
        <v>9</v>
      </c>
      <c r="B238" s="2">
        <v>46051.770833333336</v>
      </c>
      <c r="C238" t="s">
        <v>55</v>
      </c>
      <c r="D238">
        <v>134.4</v>
      </c>
      <c r="E238" t="s">
        <v>56</v>
      </c>
      <c r="F238" s="24">
        <f t="shared" si="3"/>
        <v>18</v>
      </c>
    </row>
    <row r="239" spans="1:6" x14ac:dyDescent="0.35">
      <c r="A239" t="s">
        <v>17</v>
      </c>
      <c r="B239" s="2">
        <v>46108.959027777775</v>
      </c>
      <c r="C239" t="s">
        <v>57</v>
      </c>
      <c r="D239">
        <v>21.3</v>
      </c>
      <c r="E239" t="s">
        <v>61</v>
      </c>
      <c r="F239" s="24">
        <f t="shared" si="3"/>
        <v>23</v>
      </c>
    </row>
    <row r="240" spans="1:6" x14ac:dyDescent="0.35">
      <c r="A240" t="s">
        <v>15</v>
      </c>
      <c r="B240" s="2">
        <v>46027.952777777777</v>
      </c>
      <c r="C240" t="s">
        <v>53</v>
      </c>
      <c r="D240">
        <v>30</v>
      </c>
      <c r="E240" t="s">
        <v>56</v>
      </c>
      <c r="F240" s="24">
        <f t="shared" si="3"/>
        <v>22</v>
      </c>
    </row>
    <row r="241" spans="1:6" x14ac:dyDescent="0.35">
      <c r="A241" t="s">
        <v>39</v>
      </c>
      <c r="B241" s="2">
        <v>46038.774305555555</v>
      </c>
      <c r="C241" t="s">
        <v>53</v>
      </c>
      <c r="D241">
        <v>24</v>
      </c>
      <c r="E241" t="s">
        <v>61</v>
      </c>
      <c r="F241" s="24">
        <f t="shared" si="3"/>
        <v>18</v>
      </c>
    </row>
    <row r="242" spans="1:6" x14ac:dyDescent="0.35">
      <c r="A242" t="s">
        <v>33</v>
      </c>
      <c r="B242" s="2">
        <v>46048.051388888889</v>
      </c>
      <c r="C242" t="s">
        <v>57</v>
      </c>
      <c r="D242">
        <v>14.5</v>
      </c>
      <c r="E242" t="s">
        <v>58</v>
      </c>
      <c r="F242" s="24">
        <f t="shared" si="3"/>
        <v>1</v>
      </c>
    </row>
    <row r="243" spans="1:6" x14ac:dyDescent="0.35">
      <c r="A243" t="s">
        <v>29</v>
      </c>
      <c r="B243" s="2">
        <v>46107.988194444442</v>
      </c>
      <c r="C243" t="s">
        <v>57</v>
      </c>
      <c r="D243">
        <v>37.200000000000003</v>
      </c>
      <c r="E243" t="s">
        <v>54</v>
      </c>
      <c r="F243" s="24">
        <f t="shared" si="3"/>
        <v>23</v>
      </c>
    </row>
    <row r="244" spans="1:6" x14ac:dyDescent="0.35">
      <c r="A244" t="s">
        <v>29</v>
      </c>
      <c r="B244" s="2">
        <v>46094.352083333331</v>
      </c>
      <c r="C244" t="s">
        <v>59</v>
      </c>
      <c r="D244">
        <v>21.8</v>
      </c>
      <c r="E244" t="s">
        <v>61</v>
      </c>
      <c r="F244" s="24">
        <f t="shared" si="3"/>
        <v>8</v>
      </c>
    </row>
    <row r="245" spans="1:6" x14ac:dyDescent="0.35">
      <c r="A245" t="s">
        <v>39</v>
      </c>
      <c r="B245" s="2">
        <v>46075.85833333333</v>
      </c>
      <c r="C245" t="s">
        <v>55</v>
      </c>
      <c r="D245">
        <v>93.9</v>
      </c>
      <c r="E245" t="s">
        <v>58</v>
      </c>
      <c r="F245" s="24">
        <f t="shared" si="3"/>
        <v>20</v>
      </c>
    </row>
    <row r="246" spans="1:6" x14ac:dyDescent="0.35">
      <c r="A246" t="s">
        <v>43</v>
      </c>
      <c r="B246" s="2">
        <v>46072.199305555558</v>
      </c>
      <c r="C246" t="s">
        <v>57</v>
      </c>
      <c r="D246">
        <v>56.8</v>
      </c>
      <c r="E246" t="s">
        <v>58</v>
      </c>
      <c r="F246" s="24">
        <f t="shared" si="3"/>
        <v>4</v>
      </c>
    </row>
    <row r="247" spans="1:6" x14ac:dyDescent="0.35">
      <c r="A247" t="s">
        <v>11</v>
      </c>
      <c r="B247" s="2">
        <v>46069.289583333331</v>
      </c>
      <c r="C247" t="s">
        <v>59</v>
      </c>
      <c r="D247">
        <v>111.4</v>
      </c>
      <c r="E247" t="s">
        <v>54</v>
      </c>
      <c r="F247" s="24">
        <f t="shared" si="3"/>
        <v>6</v>
      </c>
    </row>
    <row r="248" spans="1:6" x14ac:dyDescent="0.35">
      <c r="A248" t="s">
        <v>15</v>
      </c>
      <c r="B248" s="2">
        <v>46045.820138888892</v>
      </c>
      <c r="C248" t="s">
        <v>59</v>
      </c>
      <c r="D248">
        <v>48.8</v>
      </c>
      <c r="E248" t="s">
        <v>61</v>
      </c>
      <c r="F248" s="24">
        <f t="shared" si="3"/>
        <v>19</v>
      </c>
    </row>
    <row r="249" spans="1:6" x14ac:dyDescent="0.35">
      <c r="A249" t="s">
        <v>17</v>
      </c>
      <c r="B249" s="2">
        <v>46098.35833333333</v>
      </c>
      <c r="C249" t="s">
        <v>57</v>
      </c>
      <c r="D249">
        <v>22</v>
      </c>
      <c r="E249" t="s">
        <v>56</v>
      </c>
      <c r="F249" s="24">
        <f t="shared" si="3"/>
        <v>8</v>
      </c>
    </row>
    <row r="250" spans="1:6" x14ac:dyDescent="0.35">
      <c r="A250" t="s">
        <v>31</v>
      </c>
      <c r="B250" s="2">
        <v>46084.709722222222</v>
      </c>
      <c r="C250" t="s">
        <v>55</v>
      </c>
      <c r="D250">
        <v>57.3</v>
      </c>
      <c r="E250" t="s">
        <v>58</v>
      </c>
      <c r="F250" s="24">
        <f t="shared" si="3"/>
        <v>17</v>
      </c>
    </row>
    <row r="251" spans="1:6" x14ac:dyDescent="0.35">
      <c r="A251" t="s">
        <v>27</v>
      </c>
      <c r="B251" s="2">
        <v>46106.106944444444</v>
      </c>
      <c r="C251" t="s">
        <v>59</v>
      </c>
      <c r="D251">
        <v>66.5</v>
      </c>
      <c r="E251" t="s">
        <v>54</v>
      </c>
      <c r="F251" s="24">
        <f t="shared" si="3"/>
        <v>2</v>
      </c>
    </row>
    <row r="252" spans="1:6" x14ac:dyDescent="0.35">
      <c r="A252" t="s">
        <v>47</v>
      </c>
      <c r="B252" s="2">
        <v>46032.717361111114</v>
      </c>
      <c r="C252" t="s">
        <v>59</v>
      </c>
      <c r="D252">
        <v>89.2</v>
      </c>
      <c r="E252" t="s">
        <v>60</v>
      </c>
      <c r="F252" s="24">
        <f t="shared" si="3"/>
        <v>17</v>
      </c>
    </row>
    <row r="253" spans="1:6" x14ac:dyDescent="0.35">
      <c r="A253" t="s">
        <v>45</v>
      </c>
      <c r="B253" s="2">
        <v>46081.668055555558</v>
      </c>
      <c r="C253" t="s">
        <v>57</v>
      </c>
      <c r="D253">
        <v>20.6</v>
      </c>
      <c r="E253" t="s">
        <v>62</v>
      </c>
      <c r="F253" s="24">
        <f t="shared" si="3"/>
        <v>16</v>
      </c>
    </row>
    <row r="254" spans="1:6" x14ac:dyDescent="0.35">
      <c r="A254" t="s">
        <v>13</v>
      </c>
      <c r="B254" s="2">
        <v>46076.36041666667</v>
      </c>
      <c r="C254" t="s">
        <v>57</v>
      </c>
      <c r="D254">
        <v>35.700000000000003</v>
      </c>
      <c r="E254" t="s">
        <v>56</v>
      </c>
      <c r="F254" s="24">
        <f t="shared" si="3"/>
        <v>8</v>
      </c>
    </row>
    <row r="255" spans="1:6" x14ac:dyDescent="0.35">
      <c r="A255" t="s">
        <v>41</v>
      </c>
      <c r="B255" s="2">
        <v>46081.552083333336</v>
      </c>
      <c r="C255" t="s">
        <v>59</v>
      </c>
      <c r="D255">
        <v>42</v>
      </c>
      <c r="E255" t="s">
        <v>62</v>
      </c>
      <c r="F255" s="24">
        <f t="shared" si="3"/>
        <v>13</v>
      </c>
    </row>
    <row r="256" spans="1:6" x14ac:dyDescent="0.35">
      <c r="A256" t="s">
        <v>15</v>
      </c>
      <c r="B256" s="2">
        <v>46102.627083333333</v>
      </c>
      <c r="C256" t="s">
        <v>55</v>
      </c>
      <c r="D256">
        <v>57</v>
      </c>
      <c r="E256" t="s">
        <v>61</v>
      </c>
      <c r="F256" s="24">
        <f t="shared" si="3"/>
        <v>15</v>
      </c>
    </row>
    <row r="257" spans="1:6" x14ac:dyDescent="0.35">
      <c r="A257" t="s">
        <v>21</v>
      </c>
      <c r="B257" s="2">
        <v>46048.630555555559</v>
      </c>
      <c r="C257" t="s">
        <v>55</v>
      </c>
      <c r="D257">
        <v>110.2</v>
      </c>
      <c r="E257" t="s">
        <v>62</v>
      </c>
      <c r="F257" s="24">
        <f t="shared" si="3"/>
        <v>15</v>
      </c>
    </row>
    <row r="258" spans="1:6" x14ac:dyDescent="0.35">
      <c r="A258" t="s">
        <v>23</v>
      </c>
      <c r="B258" s="2">
        <v>46093.496527777781</v>
      </c>
      <c r="C258" t="s">
        <v>59</v>
      </c>
      <c r="D258">
        <v>35.1</v>
      </c>
      <c r="E258" t="s">
        <v>61</v>
      </c>
      <c r="F258" s="24">
        <f t="shared" si="3"/>
        <v>11</v>
      </c>
    </row>
    <row r="259" spans="1:6" x14ac:dyDescent="0.35">
      <c r="A259" t="s">
        <v>41</v>
      </c>
      <c r="B259" s="2">
        <v>46045.427777777775</v>
      </c>
      <c r="C259" t="s">
        <v>57</v>
      </c>
      <c r="D259">
        <v>33.200000000000003</v>
      </c>
      <c r="E259" t="s">
        <v>62</v>
      </c>
      <c r="F259" s="24">
        <f t="shared" ref="F259:F304" si="4">HOUR(B259)</f>
        <v>10</v>
      </c>
    </row>
    <row r="260" spans="1:6" x14ac:dyDescent="0.35">
      <c r="A260" t="s">
        <v>19</v>
      </c>
      <c r="B260" s="2">
        <v>46083.40625</v>
      </c>
      <c r="C260" t="s">
        <v>57</v>
      </c>
      <c r="D260">
        <v>53</v>
      </c>
      <c r="E260" t="s">
        <v>62</v>
      </c>
      <c r="F260" s="24">
        <f t="shared" si="4"/>
        <v>9</v>
      </c>
    </row>
    <row r="261" spans="1:6" x14ac:dyDescent="0.35">
      <c r="A261" t="s">
        <v>43</v>
      </c>
      <c r="B261" s="2">
        <v>46101.496527777781</v>
      </c>
      <c r="C261" t="s">
        <v>53</v>
      </c>
      <c r="D261">
        <v>43.4</v>
      </c>
      <c r="E261" t="s">
        <v>58</v>
      </c>
      <c r="F261" s="24">
        <f t="shared" si="4"/>
        <v>11</v>
      </c>
    </row>
    <row r="262" spans="1:6" x14ac:dyDescent="0.35">
      <c r="A262" t="s">
        <v>43</v>
      </c>
      <c r="B262" s="2">
        <v>46030.777083333334</v>
      </c>
      <c r="C262" t="s">
        <v>59</v>
      </c>
      <c r="D262">
        <v>136.6</v>
      </c>
      <c r="E262" t="s">
        <v>60</v>
      </c>
      <c r="F262" s="24">
        <f t="shared" si="4"/>
        <v>18</v>
      </c>
    </row>
    <row r="263" spans="1:6" x14ac:dyDescent="0.35">
      <c r="A263" t="s">
        <v>25</v>
      </c>
      <c r="B263" s="2">
        <v>46091.415277777778</v>
      </c>
      <c r="C263" t="s">
        <v>53</v>
      </c>
      <c r="D263">
        <v>8.8000000000000007</v>
      </c>
      <c r="E263" t="s">
        <v>62</v>
      </c>
      <c r="F263" s="24">
        <f t="shared" si="4"/>
        <v>9</v>
      </c>
    </row>
    <row r="264" spans="1:6" x14ac:dyDescent="0.35">
      <c r="A264" t="s">
        <v>9</v>
      </c>
      <c r="B264" s="2">
        <v>46038.229861111111</v>
      </c>
      <c r="C264" t="s">
        <v>55</v>
      </c>
      <c r="D264">
        <v>38.799999999999997</v>
      </c>
      <c r="E264" t="s">
        <v>61</v>
      </c>
      <c r="F264" s="24">
        <f t="shared" si="4"/>
        <v>5</v>
      </c>
    </row>
    <row r="265" spans="1:6" x14ac:dyDescent="0.35">
      <c r="A265" t="s">
        <v>17</v>
      </c>
      <c r="B265" s="2">
        <v>46031.868055555555</v>
      </c>
      <c r="C265" t="s">
        <v>57</v>
      </c>
      <c r="D265">
        <v>24.6</v>
      </c>
      <c r="E265" t="s">
        <v>58</v>
      </c>
      <c r="F265" s="24">
        <f t="shared" si="4"/>
        <v>20</v>
      </c>
    </row>
    <row r="266" spans="1:6" x14ac:dyDescent="0.35">
      <c r="A266" t="s">
        <v>9</v>
      </c>
      <c r="B266" s="2">
        <v>46108.852083333331</v>
      </c>
      <c r="C266" t="s">
        <v>59</v>
      </c>
      <c r="D266">
        <v>111.8</v>
      </c>
      <c r="E266" t="s">
        <v>61</v>
      </c>
      <c r="F266" s="24">
        <f t="shared" si="4"/>
        <v>20</v>
      </c>
    </row>
    <row r="267" spans="1:6" x14ac:dyDescent="0.35">
      <c r="A267" t="s">
        <v>37</v>
      </c>
      <c r="B267" s="2">
        <v>46088.293749999997</v>
      </c>
      <c r="C267" t="s">
        <v>57</v>
      </c>
      <c r="D267">
        <v>33.799999999999997</v>
      </c>
      <c r="E267" t="s">
        <v>56</v>
      </c>
      <c r="F267" s="24">
        <f t="shared" si="4"/>
        <v>7</v>
      </c>
    </row>
    <row r="268" spans="1:6" x14ac:dyDescent="0.35">
      <c r="A268" t="s">
        <v>21</v>
      </c>
      <c r="B268" s="2">
        <v>46105.916666666664</v>
      </c>
      <c r="C268" t="s">
        <v>57</v>
      </c>
      <c r="D268">
        <v>47.8</v>
      </c>
      <c r="E268" t="s">
        <v>56</v>
      </c>
      <c r="F268" s="24">
        <f t="shared" si="4"/>
        <v>22</v>
      </c>
    </row>
    <row r="269" spans="1:6" x14ac:dyDescent="0.35">
      <c r="A269" t="s">
        <v>23</v>
      </c>
      <c r="B269" s="2">
        <v>46027.740277777775</v>
      </c>
      <c r="C269" t="s">
        <v>57</v>
      </c>
      <c r="D269">
        <v>31.3</v>
      </c>
      <c r="E269" t="s">
        <v>58</v>
      </c>
      <c r="F269" s="24">
        <f t="shared" si="4"/>
        <v>17</v>
      </c>
    </row>
    <row r="270" spans="1:6" x14ac:dyDescent="0.35">
      <c r="A270" t="s">
        <v>17</v>
      </c>
      <c r="B270" s="2">
        <v>46046.418749999997</v>
      </c>
      <c r="C270" t="s">
        <v>57</v>
      </c>
      <c r="D270">
        <v>28.6</v>
      </c>
      <c r="E270" t="s">
        <v>56</v>
      </c>
      <c r="F270" s="24">
        <f t="shared" si="4"/>
        <v>10</v>
      </c>
    </row>
    <row r="271" spans="1:6" x14ac:dyDescent="0.35">
      <c r="A271" t="s">
        <v>31</v>
      </c>
      <c r="B271" s="2">
        <v>46038.36041666667</v>
      </c>
      <c r="C271" t="s">
        <v>59</v>
      </c>
      <c r="D271">
        <v>120.2</v>
      </c>
      <c r="E271" t="s">
        <v>60</v>
      </c>
      <c r="F271" s="24">
        <f t="shared" si="4"/>
        <v>8</v>
      </c>
    </row>
    <row r="272" spans="1:6" x14ac:dyDescent="0.35">
      <c r="A272" t="s">
        <v>11</v>
      </c>
      <c r="B272" s="2">
        <v>46025.740277777775</v>
      </c>
      <c r="C272" t="s">
        <v>59</v>
      </c>
      <c r="D272">
        <v>65.599999999999994</v>
      </c>
      <c r="E272" t="s">
        <v>61</v>
      </c>
      <c r="F272" s="24">
        <f t="shared" si="4"/>
        <v>17</v>
      </c>
    </row>
    <row r="273" spans="1:6" x14ac:dyDescent="0.35">
      <c r="A273" t="s">
        <v>35</v>
      </c>
      <c r="B273" s="2">
        <v>46090.561805555553</v>
      </c>
      <c r="C273" t="s">
        <v>59</v>
      </c>
      <c r="D273">
        <v>26.8</v>
      </c>
      <c r="E273" t="s">
        <v>54</v>
      </c>
      <c r="F273" s="24">
        <f t="shared" si="4"/>
        <v>13</v>
      </c>
    </row>
    <row r="274" spans="1:6" x14ac:dyDescent="0.35">
      <c r="A274" t="s">
        <v>37</v>
      </c>
      <c r="B274" s="2">
        <v>46025.53402777778</v>
      </c>
      <c r="C274" t="s">
        <v>57</v>
      </c>
      <c r="D274">
        <v>16.5</v>
      </c>
      <c r="E274" t="s">
        <v>54</v>
      </c>
      <c r="F274" s="24">
        <f t="shared" si="4"/>
        <v>12</v>
      </c>
    </row>
    <row r="275" spans="1:6" x14ac:dyDescent="0.35">
      <c r="A275" t="s">
        <v>29</v>
      </c>
      <c r="B275" s="2">
        <v>46099.059027777781</v>
      </c>
      <c r="C275" t="s">
        <v>53</v>
      </c>
      <c r="D275">
        <v>47.9</v>
      </c>
      <c r="E275" t="s">
        <v>58</v>
      </c>
      <c r="F275" s="24">
        <f t="shared" si="4"/>
        <v>1</v>
      </c>
    </row>
    <row r="276" spans="1:6" x14ac:dyDescent="0.35">
      <c r="A276" t="s">
        <v>43</v>
      </c>
      <c r="B276" s="2">
        <v>46062.088888888888</v>
      </c>
      <c r="C276" t="s">
        <v>53</v>
      </c>
      <c r="D276">
        <v>31.7</v>
      </c>
      <c r="E276" t="s">
        <v>56</v>
      </c>
      <c r="F276" s="24">
        <f t="shared" si="4"/>
        <v>2</v>
      </c>
    </row>
    <row r="277" spans="1:6" x14ac:dyDescent="0.35">
      <c r="A277" t="s">
        <v>9</v>
      </c>
      <c r="B277" s="2">
        <v>46099.556944444441</v>
      </c>
      <c r="C277" t="s">
        <v>57</v>
      </c>
      <c r="D277">
        <v>25.9</v>
      </c>
      <c r="E277" t="s">
        <v>62</v>
      </c>
      <c r="F277" s="24">
        <f t="shared" si="4"/>
        <v>13</v>
      </c>
    </row>
    <row r="278" spans="1:6" x14ac:dyDescent="0.35">
      <c r="A278" t="s">
        <v>25</v>
      </c>
      <c r="B278" s="2">
        <v>46068.152777777781</v>
      </c>
      <c r="C278" t="s">
        <v>59</v>
      </c>
      <c r="D278">
        <v>118</v>
      </c>
      <c r="E278" t="s">
        <v>58</v>
      </c>
      <c r="F278" s="24">
        <f t="shared" si="4"/>
        <v>3</v>
      </c>
    </row>
    <row r="279" spans="1:6" x14ac:dyDescent="0.35">
      <c r="A279" t="s">
        <v>11</v>
      </c>
      <c r="B279" s="2">
        <v>46082.678472222222</v>
      </c>
      <c r="C279" t="s">
        <v>55</v>
      </c>
      <c r="D279">
        <v>61.2</v>
      </c>
      <c r="E279" t="s">
        <v>58</v>
      </c>
      <c r="F279" s="24">
        <f t="shared" si="4"/>
        <v>16</v>
      </c>
    </row>
    <row r="280" spans="1:6" x14ac:dyDescent="0.35">
      <c r="A280" t="s">
        <v>41</v>
      </c>
      <c r="B280" s="2">
        <v>46032.722916666666</v>
      </c>
      <c r="C280" t="s">
        <v>59</v>
      </c>
      <c r="D280">
        <v>44</v>
      </c>
      <c r="E280" t="s">
        <v>58</v>
      </c>
      <c r="F280" s="24">
        <f t="shared" si="4"/>
        <v>17</v>
      </c>
    </row>
    <row r="281" spans="1:6" x14ac:dyDescent="0.35">
      <c r="A281" t="s">
        <v>39</v>
      </c>
      <c r="B281" s="2">
        <v>46080.679166666669</v>
      </c>
      <c r="C281" t="s">
        <v>55</v>
      </c>
      <c r="D281">
        <v>119.5</v>
      </c>
      <c r="E281" t="s">
        <v>62</v>
      </c>
      <c r="F281" s="24">
        <f t="shared" si="4"/>
        <v>16</v>
      </c>
    </row>
    <row r="282" spans="1:6" x14ac:dyDescent="0.35">
      <c r="A282" t="s">
        <v>31</v>
      </c>
      <c r="B282" s="2">
        <v>46084.316666666666</v>
      </c>
      <c r="C282" t="s">
        <v>53</v>
      </c>
      <c r="D282">
        <v>23.5</v>
      </c>
      <c r="E282" t="s">
        <v>58</v>
      </c>
      <c r="F282" s="24">
        <f t="shared" si="4"/>
        <v>7</v>
      </c>
    </row>
    <row r="283" spans="1:6" x14ac:dyDescent="0.35">
      <c r="A283" t="s">
        <v>11</v>
      </c>
      <c r="B283" s="2">
        <v>46058.427083333336</v>
      </c>
      <c r="C283" t="s">
        <v>57</v>
      </c>
      <c r="D283">
        <v>47.3</v>
      </c>
      <c r="E283" t="s">
        <v>56</v>
      </c>
      <c r="F283" s="24">
        <f t="shared" si="4"/>
        <v>10</v>
      </c>
    </row>
    <row r="284" spans="1:6" x14ac:dyDescent="0.35">
      <c r="A284" t="s">
        <v>13</v>
      </c>
      <c r="B284" s="2">
        <v>46066.790972222225</v>
      </c>
      <c r="C284" t="s">
        <v>53</v>
      </c>
      <c r="D284">
        <v>44.8</v>
      </c>
      <c r="E284" t="s">
        <v>58</v>
      </c>
      <c r="F284" s="24">
        <f t="shared" si="4"/>
        <v>18</v>
      </c>
    </row>
    <row r="285" spans="1:6" x14ac:dyDescent="0.35">
      <c r="A285" t="s">
        <v>37</v>
      </c>
      <c r="B285" s="2">
        <v>46080.418749999997</v>
      </c>
      <c r="C285" t="s">
        <v>59</v>
      </c>
      <c r="D285">
        <v>78.900000000000006</v>
      </c>
      <c r="E285" t="s">
        <v>62</v>
      </c>
      <c r="F285" s="24">
        <f t="shared" si="4"/>
        <v>10</v>
      </c>
    </row>
    <row r="286" spans="1:6" x14ac:dyDescent="0.35">
      <c r="A286" t="s">
        <v>11</v>
      </c>
      <c r="B286" s="2">
        <v>46073.672222222223</v>
      </c>
      <c r="C286" t="s">
        <v>55</v>
      </c>
      <c r="D286">
        <v>43.9</v>
      </c>
      <c r="E286" t="s">
        <v>62</v>
      </c>
      <c r="F286" s="24">
        <f t="shared" si="4"/>
        <v>16</v>
      </c>
    </row>
    <row r="287" spans="1:6" x14ac:dyDescent="0.35">
      <c r="A287" t="s">
        <v>25</v>
      </c>
      <c r="B287" s="2">
        <v>46107.157638888886</v>
      </c>
      <c r="C287" t="s">
        <v>57</v>
      </c>
      <c r="D287">
        <v>55.1</v>
      </c>
      <c r="E287" t="s">
        <v>54</v>
      </c>
      <c r="F287" s="24">
        <f t="shared" si="4"/>
        <v>3</v>
      </c>
    </row>
    <row r="288" spans="1:6" x14ac:dyDescent="0.35">
      <c r="A288" t="s">
        <v>17</v>
      </c>
      <c r="B288" s="2">
        <v>46065.707638888889</v>
      </c>
      <c r="C288" t="s">
        <v>57</v>
      </c>
      <c r="D288">
        <v>38.5</v>
      </c>
      <c r="E288" t="s">
        <v>58</v>
      </c>
      <c r="F288" s="24">
        <f t="shared" si="4"/>
        <v>16</v>
      </c>
    </row>
    <row r="289" spans="1:6" x14ac:dyDescent="0.35">
      <c r="A289" t="s">
        <v>43</v>
      </c>
      <c r="B289" s="2">
        <v>46062.273611111108</v>
      </c>
      <c r="C289" t="s">
        <v>59</v>
      </c>
      <c r="D289">
        <v>58</v>
      </c>
      <c r="E289" t="s">
        <v>62</v>
      </c>
      <c r="F289" s="24">
        <f t="shared" si="4"/>
        <v>6</v>
      </c>
    </row>
    <row r="290" spans="1:6" x14ac:dyDescent="0.35">
      <c r="A290" t="s">
        <v>25</v>
      </c>
      <c r="B290" s="2">
        <v>46071.359027777777</v>
      </c>
      <c r="C290" t="s">
        <v>59</v>
      </c>
      <c r="D290">
        <v>32.6</v>
      </c>
      <c r="E290" t="s">
        <v>56</v>
      </c>
      <c r="F290" s="24">
        <f t="shared" si="4"/>
        <v>8</v>
      </c>
    </row>
    <row r="291" spans="1:6" x14ac:dyDescent="0.35">
      <c r="A291" t="s">
        <v>45</v>
      </c>
      <c r="B291" s="2">
        <v>46082.077777777777</v>
      </c>
      <c r="C291" t="s">
        <v>57</v>
      </c>
      <c r="D291">
        <v>12.1</v>
      </c>
      <c r="E291" t="s">
        <v>61</v>
      </c>
      <c r="F291" s="24">
        <f t="shared" si="4"/>
        <v>1</v>
      </c>
    </row>
    <row r="292" spans="1:6" x14ac:dyDescent="0.35">
      <c r="A292" t="s">
        <v>45</v>
      </c>
      <c r="B292" s="2">
        <v>46031.435416666667</v>
      </c>
      <c r="C292" t="s">
        <v>59</v>
      </c>
      <c r="D292">
        <v>57.7</v>
      </c>
      <c r="E292" t="s">
        <v>54</v>
      </c>
      <c r="F292" s="24">
        <f t="shared" si="4"/>
        <v>10</v>
      </c>
    </row>
    <row r="293" spans="1:6" x14ac:dyDescent="0.35">
      <c r="A293" t="s">
        <v>13</v>
      </c>
      <c r="B293" s="2">
        <v>46047.222916666666</v>
      </c>
      <c r="C293" t="s">
        <v>55</v>
      </c>
      <c r="D293">
        <v>114</v>
      </c>
      <c r="E293" t="s">
        <v>62</v>
      </c>
      <c r="F293" s="24">
        <f t="shared" si="4"/>
        <v>5</v>
      </c>
    </row>
    <row r="294" spans="1:6" x14ac:dyDescent="0.35">
      <c r="A294" t="s">
        <v>41</v>
      </c>
      <c r="B294" s="2">
        <v>46066.568749999999</v>
      </c>
      <c r="C294" t="s">
        <v>53</v>
      </c>
      <c r="D294">
        <v>19.7</v>
      </c>
      <c r="E294" t="s">
        <v>54</v>
      </c>
      <c r="F294" s="24">
        <f t="shared" si="4"/>
        <v>13</v>
      </c>
    </row>
    <row r="295" spans="1:6" x14ac:dyDescent="0.35">
      <c r="A295" t="s">
        <v>27</v>
      </c>
      <c r="B295" s="2">
        <v>46077.377083333333</v>
      </c>
      <c r="C295" t="s">
        <v>57</v>
      </c>
      <c r="D295">
        <v>41.8</v>
      </c>
      <c r="E295" t="s">
        <v>62</v>
      </c>
      <c r="F295" s="24">
        <f t="shared" si="4"/>
        <v>9</v>
      </c>
    </row>
    <row r="296" spans="1:6" x14ac:dyDescent="0.35">
      <c r="A296" t="s">
        <v>15</v>
      </c>
      <c r="B296" s="2">
        <v>46043.431250000001</v>
      </c>
      <c r="C296" t="s">
        <v>53</v>
      </c>
      <c r="D296">
        <v>12.3</v>
      </c>
      <c r="E296" t="s">
        <v>56</v>
      </c>
      <c r="F296" s="24">
        <f t="shared" si="4"/>
        <v>10</v>
      </c>
    </row>
    <row r="297" spans="1:6" x14ac:dyDescent="0.35">
      <c r="A297" t="s">
        <v>37</v>
      </c>
      <c r="B297" s="2">
        <v>46101.429861111108</v>
      </c>
      <c r="C297" t="s">
        <v>57</v>
      </c>
      <c r="D297">
        <v>59</v>
      </c>
      <c r="E297" t="s">
        <v>58</v>
      </c>
      <c r="F297" s="24">
        <f t="shared" si="4"/>
        <v>10</v>
      </c>
    </row>
    <row r="298" spans="1:6" x14ac:dyDescent="0.35">
      <c r="A298" t="s">
        <v>35</v>
      </c>
      <c r="B298" s="2">
        <v>46090.369444444441</v>
      </c>
      <c r="C298" t="s">
        <v>55</v>
      </c>
      <c r="D298">
        <v>53.1</v>
      </c>
      <c r="E298" t="s">
        <v>62</v>
      </c>
      <c r="F298" s="24">
        <f t="shared" si="4"/>
        <v>8</v>
      </c>
    </row>
    <row r="299" spans="1:6" x14ac:dyDescent="0.35">
      <c r="A299" t="s">
        <v>31</v>
      </c>
      <c r="B299" s="2">
        <v>46053.074305555558</v>
      </c>
      <c r="C299" t="s">
        <v>55</v>
      </c>
      <c r="D299">
        <v>107.9</v>
      </c>
      <c r="E299" t="s">
        <v>56</v>
      </c>
      <c r="F299" s="24">
        <f t="shared" si="4"/>
        <v>1</v>
      </c>
    </row>
    <row r="300" spans="1:6" x14ac:dyDescent="0.35">
      <c r="A300" t="s">
        <v>35</v>
      </c>
      <c r="B300" s="2">
        <v>46028.195138888892</v>
      </c>
      <c r="C300" t="s">
        <v>59</v>
      </c>
      <c r="D300">
        <v>28.8</v>
      </c>
      <c r="E300" t="s">
        <v>56</v>
      </c>
      <c r="F300" s="24">
        <f t="shared" si="4"/>
        <v>4</v>
      </c>
    </row>
    <row r="301" spans="1:6" x14ac:dyDescent="0.35">
      <c r="A301" t="s">
        <v>33</v>
      </c>
      <c r="B301" s="2">
        <v>46051.936805555553</v>
      </c>
      <c r="C301" t="s">
        <v>57</v>
      </c>
      <c r="D301">
        <v>10.199999999999999</v>
      </c>
      <c r="E301" t="s">
        <v>61</v>
      </c>
      <c r="F301" s="24">
        <f t="shared" si="4"/>
        <v>22</v>
      </c>
    </row>
    <row r="302" spans="1:6" x14ac:dyDescent="0.35">
      <c r="A302" t="s">
        <v>27</v>
      </c>
      <c r="B302" s="2">
        <v>46068.09375</v>
      </c>
      <c r="C302" t="s">
        <v>57</v>
      </c>
      <c r="D302">
        <v>48.5</v>
      </c>
      <c r="E302" t="s">
        <v>63</v>
      </c>
      <c r="F302" s="24">
        <f t="shared" si="4"/>
        <v>2</v>
      </c>
    </row>
    <row r="303" spans="1:6" x14ac:dyDescent="0.35">
      <c r="A303" t="s">
        <v>27</v>
      </c>
      <c r="B303" s="2">
        <v>46073.069444444445</v>
      </c>
      <c r="C303" t="s">
        <v>57</v>
      </c>
      <c r="D303">
        <v>52.1</v>
      </c>
      <c r="E303" t="s">
        <v>63</v>
      </c>
      <c r="F303" s="24">
        <f t="shared" si="4"/>
        <v>1</v>
      </c>
    </row>
    <row r="304" spans="1:6" x14ac:dyDescent="0.35">
      <c r="A304" t="s">
        <v>33</v>
      </c>
      <c r="B304" s="2">
        <v>46086.131944444445</v>
      </c>
      <c r="C304" t="s">
        <v>57</v>
      </c>
      <c r="D304">
        <v>44.3</v>
      </c>
      <c r="E304" t="s">
        <v>63</v>
      </c>
      <c r="F304" s="24">
        <f t="shared" si="4"/>
        <v>3</v>
      </c>
    </row>
  </sheetData>
  <autoFilter ref="A1:F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F356-0B9F-40BD-8F83-8514FF45CEC7}">
  <dimension ref="A3:I89"/>
  <sheetViews>
    <sheetView topLeftCell="A70" zoomScale="70" zoomScaleNormal="70" workbookViewId="0">
      <selection activeCell="F14" sqref="F14"/>
    </sheetView>
  </sheetViews>
  <sheetFormatPr defaultRowHeight="14.5" x14ac:dyDescent="0.35"/>
  <cols>
    <col min="1" max="1" width="20.81640625" style="8" bestFit="1" customWidth="1"/>
    <col min="2" max="2" width="27.36328125" style="8" customWidth="1"/>
    <col min="3" max="3" width="86.7265625" style="8" bestFit="1" customWidth="1"/>
    <col min="4" max="4" width="12" style="8" customWidth="1"/>
    <col min="5" max="5" width="17.90625" style="8" customWidth="1"/>
    <col min="6" max="10" width="8.7265625" style="8"/>
    <col min="11" max="12" width="8.7265625" style="8" customWidth="1"/>
    <col min="13" max="15" width="8.7265625" style="8"/>
    <col min="16" max="16" width="8.7265625" style="8" customWidth="1"/>
    <col min="17" max="16384" width="8.7265625" style="8"/>
  </cols>
  <sheetData>
    <row r="3" spans="1:9" ht="26.5" customHeight="1" x14ac:dyDescent="0.35">
      <c r="A3" s="29" t="s">
        <v>64</v>
      </c>
      <c r="B3" s="30"/>
      <c r="C3" s="30"/>
      <c r="D3" s="30"/>
      <c r="E3" s="7"/>
      <c r="F3" s="7"/>
      <c r="G3" s="7"/>
      <c r="H3" s="7"/>
      <c r="I3" s="7"/>
    </row>
    <row r="4" spans="1:9" x14ac:dyDescent="0.35">
      <c r="A4" s="7"/>
      <c r="B4" s="7"/>
      <c r="C4" s="7"/>
      <c r="D4" s="7"/>
      <c r="E4" s="7"/>
      <c r="F4" s="7"/>
      <c r="G4" s="7"/>
      <c r="H4" s="7"/>
      <c r="I4" s="7"/>
    </row>
    <row r="6" spans="1:9" ht="19" customHeight="1" x14ac:dyDescent="0.35">
      <c r="B6" s="29" t="s">
        <v>65</v>
      </c>
      <c r="C6" s="30"/>
      <c r="D6" s="7"/>
      <c r="E6" s="7"/>
    </row>
    <row r="8" spans="1:9" x14ac:dyDescent="0.35">
      <c r="A8" s="8" t="s">
        <v>66</v>
      </c>
      <c r="B8" s="8" t="s">
        <v>67</v>
      </c>
      <c r="C8" s="8" t="s">
        <v>68</v>
      </c>
    </row>
    <row r="9" spans="1:9" x14ac:dyDescent="0.35">
      <c r="A9" s="8" t="s">
        <v>4</v>
      </c>
      <c r="B9" s="8">
        <v>5</v>
      </c>
      <c r="C9" s="8" t="s">
        <v>69</v>
      </c>
    </row>
    <row r="10" spans="1:9" x14ac:dyDescent="0.35">
      <c r="A10" s="8" t="s">
        <v>5</v>
      </c>
      <c r="B10" s="8">
        <v>5</v>
      </c>
      <c r="C10" s="8" t="s">
        <v>69</v>
      </c>
    </row>
    <row r="11" spans="1:9" x14ac:dyDescent="0.35">
      <c r="A11" s="8" t="s">
        <v>8</v>
      </c>
      <c r="B11" s="8">
        <v>5</v>
      </c>
      <c r="C11" s="8" t="s">
        <v>69</v>
      </c>
    </row>
    <row r="13" spans="1:9" x14ac:dyDescent="0.35">
      <c r="A13" s="32" t="s">
        <v>70</v>
      </c>
      <c r="B13" s="32"/>
      <c r="C13" s="32"/>
      <c r="D13" s="32"/>
      <c r="E13" s="32"/>
    </row>
    <row r="14" spans="1:9" x14ac:dyDescent="0.35">
      <c r="A14" s="32"/>
      <c r="B14" s="32"/>
      <c r="C14" s="32"/>
      <c r="D14" s="32"/>
      <c r="E14" s="32"/>
    </row>
    <row r="16" spans="1:9" ht="17.5" customHeight="1" x14ac:dyDescent="0.35">
      <c r="B16" s="29" t="s">
        <v>71</v>
      </c>
      <c r="C16" s="30"/>
    </row>
    <row r="18" spans="1:4" x14ac:dyDescent="0.35">
      <c r="A18" s="8" t="s">
        <v>72</v>
      </c>
      <c r="B18" s="8" t="s">
        <v>73</v>
      </c>
      <c r="C18" s="8" t="s">
        <v>68</v>
      </c>
    </row>
    <row r="19" spans="1:4" x14ac:dyDescent="0.35">
      <c r="A19" s="8" t="s">
        <v>74</v>
      </c>
      <c r="B19" s="8">
        <v>6</v>
      </c>
      <c r="C19" s="8" t="s">
        <v>75</v>
      </c>
    </row>
    <row r="21" spans="1:4" ht="17.5" customHeight="1" x14ac:dyDescent="0.35">
      <c r="B21" s="29" t="s">
        <v>76</v>
      </c>
      <c r="C21" s="30"/>
    </row>
    <row r="23" spans="1:4" ht="41" customHeight="1" x14ac:dyDescent="0.35">
      <c r="A23" s="8" t="s">
        <v>0</v>
      </c>
      <c r="B23" s="8" t="s">
        <v>77</v>
      </c>
      <c r="C23" s="8" t="s">
        <v>78</v>
      </c>
    </row>
    <row r="24" spans="1:4" x14ac:dyDescent="0.35">
      <c r="A24" s="8" t="s">
        <v>27</v>
      </c>
      <c r="B24" s="8" t="s">
        <v>79</v>
      </c>
      <c r="C24" s="8" t="s">
        <v>83</v>
      </c>
    </row>
    <row r="25" spans="1:4" x14ac:dyDescent="0.35">
      <c r="A25" s="8" t="s">
        <v>21</v>
      </c>
      <c r="B25" s="8" t="s">
        <v>80</v>
      </c>
      <c r="C25" s="8" t="s">
        <v>84</v>
      </c>
    </row>
    <row r="26" spans="1:4" x14ac:dyDescent="0.35">
      <c r="A26" s="8" t="s">
        <v>11</v>
      </c>
      <c r="B26" s="8" t="s">
        <v>81</v>
      </c>
      <c r="C26" s="7" t="s">
        <v>86</v>
      </c>
    </row>
    <row r="27" spans="1:4" x14ac:dyDescent="0.35">
      <c r="A27" s="8" t="s">
        <v>9</v>
      </c>
      <c r="B27" s="8" t="s">
        <v>82</v>
      </c>
      <c r="C27" s="7" t="s">
        <v>85</v>
      </c>
    </row>
    <row r="31" spans="1:4" ht="28" customHeight="1" x14ac:dyDescent="0.35">
      <c r="A31" s="29" t="s">
        <v>87</v>
      </c>
      <c r="B31" s="30"/>
      <c r="C31" s="30"/>
      <c r="D31" s="30"/>
    </row>
    <row r="34" spans="1:3" ht="26.5" customHeight="1" x14ac:dyDescent="0.35">
      <c r="B34" s="29" t="s">
        <v>65</v>
      </c>
      <c r="C34" s="30"/>
    </row>
    <row r="37" spans="1:3" x14ac:dyDescent="0.35">
      <c r="A37" s="9" t="s">
        <v>66</v>
      </c>
      <c r="B37" s="9" t="s">
        <v>88</v>
      </c>
      <c r="C37" s="9" t="s">
        <v>89</v>
      </c>
    </row>
    <row r="38" spans="1:3" x14ac:dyDescent="0.35">
      <c r="A38" s="7" t="s">
        <v>0</v>
      </c>
      <c r="B38" s="7">
        <v>0</v>
      </c>
      <c r="C38" s="7" t="s">
        <v>90</v>
      </c>
    </row>
    <row r="39" spans="1:3" x14ac:dyDescent="0.35">
      <c r="A39" s="7" t="s">
        <v>49</v>
      </c>
      <c r="B39" s="7">
        <v>0</v>
      </c>
      <c r="C39" s="7" t="s">
        <v>90</v>
      </c>
    </row>
    <row r="40" spans="1:3" x14ac:dyDescent="0.35">
      <c r="A40" s="7" t="s">
        <v>50</v>
      </c>
      <c r="B40" s="7">
        <v>0</v>
      </c>
      <c r="C40" s="7" t="s">
        <v>90</v>
      </c>
    </row>
    <row r="41" spans="1:3" x14ac:dyDescent="0.35">
      <c r="A41" s="7" t="s">
        <v>51</v>
      </c>
      <c r="B41" s="7">
        <v>0</v>
      </c>
      <c r="C41" s="7" t="s">
        <v>90</v>
      </c>
    </row>
    <row r="42" spans="1:3" x14ac:dyDescent="0.35">
      <c r="A42" s="7" t="s">
        <v>52</v>
      </c>
      <c r="B42" s="7">
        <v>0</v>
      </c>
      <c r="C42" s="7" t="s">
        <v>90</v>
      </c>
    </row>
    <row r="44" spans="1:3" x14ac:dyDescent="0.35">
      <c r="A44" s="28" t="s">
        <v>91</v>
      </c>
      <c r="B44" s="28"/>
      <c r="C44" s="28"/>
    </row>
    <row r="46" spans="1:3" ht="23" customHeight="1" x14ac:dyDescent="0.35">
      <c r="B46" s="29" t="s">
        <v>71</v>
      </c>
      <c r="C46" s="29"/>
    </row>
    <row r="48" spans="1:3" x14ac:dyDescent="0.35">
      <c r="A48" s="9" t="s">
        <v>72</v>
      </c>
      <c r="B48" s="9" t="s">
        <v>73</v>
      </c>
      <c r="C48" s="9" t="s">
        <v>89</v>
      </c>
    </row>
    <row r="49" spans="1:6" x14ac:dyDescent="0.35">
      <c r="A49" s="7" t="s">
        <v>74</v>
      </c>
      <c r="B49" s="7">
        <v>0</v>
      </c>
      <c r="C49" s="7" t="s">
        <v>90</v>
      </c>
    </row>
    <row r="51" spans="1:6" ht="34" customHeight="1" x14ac:dyDescent="0.35">
      <c r="B51" s="31" t="s">
        <v>76</v>
      </c>
      <c r="C51" s="31"/>
    </row>
    <row r="53" spans="1:6" x14ac:dyDescent="0.35">
      <c r="A53" s="26" t="s">
        <v>92</v>
      </c>
      <c r="B53" s="26"/>
    </row>
    <row r="55" spans="1:6" x14ac:dyDescent="0.35">
      <c r="A55" s="9" t="s">
        <v>0</v>
      </c>
      <c r="B55" s="9" t="s">
        <v>93</v>
      </c>
      <c r="C55" s="9" t="s">
        <v>94</v>
      </c>
      <c r="D55" s="9" t="s">
        <v>52</v>
      </c>
      <c r="E55" s="9" t="s">
        <v>95</v>
      </c>
      <c r="F55" s="9"/>
    </row>
    <row r="56" spans="1:6" ht="29" x14ac:dyDescent="0.35">
      <c r="A56" s="7" t="s">
        <v>27</v>
      </c>
      <c r="B56" s="10">
        <v>46068.09375</v>
      </c>
      <c r="C56" s="7">
        <v>48.5</v>
      </c>
      <c r="D56" s="7" t="s">
        <v>63</v>
      </c>
      <c r="E56" s="7" t="s">
        <v>96</v>
      </c>
      <c r="F56" s="7"/>
    </row>
    <row r="57" spans="1:6" ht="29" x14ac:dyDescent="0.35">
      <c r="A57" s="7" t="s">
        <v>27</v>
      </c>
      <c r="B57" s="10">
        <v>46073.069444444445</v>
      </c>
      <c r="C57" s="7">
        <v>52.1</v>
      </c>
      <c r="D57" s="7" t="s">
        <v>63</v>
      </c>
      <c r="E57" s="7" t="s">
        <v>96</v>
      </c>
      <c r="F57" s="7"/>
    </row>
    <row r="58" spans="1:6" ht="29" x14ac:dyDescent="0.35">
      <c r="A58" s="7" t="s">
        <v>33</v>
      </c>
      <c r="B58" s="10">
        <v>46086.131944444445</v>
      </c>
      <c r="C58" s="7">
        <v>44.3</v>
      </c>
      <c r="D58" s="7" t="s">
        <v>63</v>
      </c>
      <c r="E58" s="7" t="s">
        <v>96</v>
      </c>
      <c r="F58" s="7"/>
    </row>
    <row r="60" spans="1:6" ht="29.5" customHeight="1" x14ac:dyDescent="0.35">
      <c r="A60" s="28" t="s">
        <v>106</v>
      </c>
      <c r="B60" s="28"/>
      <c r="C60" s="28"/>
    </row>
    <row r="63" spans="1:6" x14ac:dyDescent="0.35">
      <c r="A63" s="26" t="s">
        <v>97</v>
      </c>
      <c r="B63" s="26"/>
    </row>
    <row r="65" spans="1:5" x14ac:dyDescent="0.35">
      <c r="A65" s="9" t="s">
        <v>0</v>
      </c>
      <c r="B65" s="9" t="s">
        <v>93</v>
      </c>
      <c r="C65" s="9" t="s">
        <v>98</v>
      </c>
      <c r="D65" s="9" t="s">
        <v>52</v>
      </c>
      <c r="E65" s="9" t="s">
        <v>99</v>
      </c>
    </row>
    <row r="66" spans="1:5" x14ac:dyDescent="0.35">
      <c r="A66" s="7" t="s">
        <v>43</v>
      </c>
      <c r="B66" s="10">
        <v>46072.199305555558</v>
      </c>
      <c r="C66" s="7">
        <v>56.8</v>
      </c>
      <c r="D66" s="7" t="s">
        <v>58</v>
      </c>
      <c r="E66" s="7" t="s">
        <v>100</v>
      </c>
    </row>
    <row r="67" spans="1:5" x14ac:dyDescent="0.35">
      <c r="A67" s="7" t="s">
        <v>15</v>
      </c>
      <c r="B67" s="10">
        <v>46078.984722222223</v>
      </c>
      <c r="C67" s="7">
        <v>55.3</v>
      </c>
      <c r="D67" s="7" t="s">
        <v>56</v>
      </c>
      <c r="E67" s="7" t="s">
        <v>101</v>
      </c>
    </row>
    <row r="68" spans="1:5" x14ac:dyDescent="0.35">
      <c r="A68" s="7" t="s">
        <v>25</v>
      </c>
      <c r="B68" s="10">
        <v>46107.157638888886</v>
      </c>
      <c r="C68" s="7">
        <v>55.1</v>
      </c>
      <c r="D68" s="7" t="s">
        <v>54</v>
      </c>
      <c r="E68" s="7" t="s">
        <v>100</v>
      </c>
    </row>
    <row r="69" spans="1:5" ht="29" x14ac:dyDescent="0.35">
      <c r="A69" s="7" t="s">
        <v>33</v>
      </c>
      <c r="B69" s="10">
        <v>46072.226388888892</v>
      </c>
      <c r="C69" s="7">
        <v>53.2</v>
      </c>
      <c r="D69" s="7" t="s">
        <v>56</v>
      </c>
      <c r="E69" s="7" t="s">
        <v>102</v>
      </c>
    </row>
    <row r="70" spans="1:5" ht="29" x14ac:dyDescent="0.35">
      <c r="A70" s="7" t="s">
        <v>27</v>
      </c>
      <c r="B70" s="10">
        <v>46073.069444444445</v>
      </c>
      <c r="C70" s="7">
        <v>52.1</v>
      </c>
      <c r="D70" s="7" t="s">
        <v>63</v>
      </c>
      <c r="E70" s="7" t="s">
        <v>103</v>
      </c>
    </row>
    <row r="71" spans="1:5" ht="29" x14ac:dyDescent="0.35">
      <c r="A71" s="7" t="s">
        <v>27</v>
      </c>
      <c r="B71" s="10">
        <v>46068.09375</v>
      </c>
      <c r="C71" s="7">
        <v>48.5</v>
      </c>
      <c r="D71" s="7" t="s">
        <v>63</v>
      </c>
      <c r="E71" s="7" t="s">
        <v>104</v>
      </c>
    </row>
    <row r="72" spans="1:5" x14ac:dyDescent="0.35">
      <c r="A72" s="7" t="s">
        <v>41</v>
      </c>
      <c r="B72" s="10">
        <v>46059.216666666667</v>
      </c>
      <c r="C72" s="7">
        <v>48.1</v>
      </c>
      <c r="D72" s="7" t="s">
        <v>58</v>
      </c>
      <c r="E72" s="7" t="s">
        <v>100</v>
      </c>
    </row>
    <row r="73" spans="1:5" x14ac:dyDescent="0.35">
      <c r="A73" s="7" t="s">
        <v>11</v>
      </c>
      <c r="B73" s="10">
        <v>46109.182638888888</v>
      </c>
      <c r="C73" s="7">
        <v>45.9</v>
      </c>
      <c r="D73" s="7" t="s">
        <v>61</v>
      </c>
      <c r="E73" s="7" t="s">
        <v>101</v>
      </c>
    </row>
    <row r="75" spans="1:5" ht="39.5" customHeight="1" x14ac:dyDescent="0.35">
      <c r="A75" s="27" t="s">
        <v>105</v>
      </c>
      <c r="B75" s="28"/>
      <c r="C75" s="28"/>
    </row>
    <row r="77" spans="1:5" x14ac:dyDescent="0.35">
      <c r="A77" s="26" t="s">
        <v>109</v>
      </c>
      <c r="B77" s="26"/>
    </row>
    <row r="79" spans="1:5" x14ac:dyDescent="0.35">
      <c r="A79" s="6" t="s">
        <v>107</v>
      </c>
      <c r="B79" s="6" t="s">
        <v>108</v>
      </c>
    </row>
    <row r="80" spans="1:5" x14ac:dyDescent="0.35">
      <c r="A80" s="3" t="s">
        <v>37</v>
      </c>
      <c r="B80" s="11">
        <v>9</v>
      </c>
    </row>
    <row r="81" spans="1:3" x14ac:dyDescent="0.35">
      <c r="A81" s="3" t="s">
        <v>17</v>
      </c>
      <c r="B81" s="11">
        <v>9</v>
      </c>
    </row>
    <row r="82" spans="1:3" x14ac:dyDescent="0.35">
      <c r="A82" s="3" t="s">
        <v>25</v>
      </c>
      <c r="B82" s="11">
        <v>9</v>
      </c>
    </row>
    <row r="83" spans="1:3" x14ac:dyDescent="0.35">
      <c r="A83" s="3" t="s">
        <v>33</v>
      </c>
      <c r="B83" s="11">
        <v>8</v>
      </c>
    </row>
    <row r="84" spans="1:3" x14ac:dyDescent="0.35">
      <c r="A84" s="3" t="s">
        <v>27</v>
      </c>
      <c r="B84" s="11">
        <v>7</v>
      </c>
    </row>
    <row r="85" spans="1:3" x14ac:dyDescent="0.35">
      <c r="A85" s="3" t="s">
        <v>13</v>
      </c>
      <c r="B85" s="3">
        <v>6</v>
      </c>
    </row>
    <row r="86" spans="1:3" x14ac:dyDescent="0.35">
      <c r="A86" s="3" t="s">
        <v>15</v>
      </c>
      <c r="B86" s="3">
        <v>6</v>
      </c>
    </row>
    <row r="87" spans="1:3" x14ac:dyDescent="0.35">
      <c r="A87" s="3" t="s">
        <v>45</v>
      </c>
      <c r="B87" s="3">
        <v>6</v>
      </c>
    </row>
    <row r="89" spans="1:3" ht="15.5" x14ac:dyDescent="0.35">
      <c r="A89" s="27" t="s">
        <v>110</v>
      </c>
      <c r="B89" s="28"/>
      <c r="C89" s="28"/>
    </row>
  </sheetData>
  <mergeCells count="16">
    <mergeCell ref="A13:E14"/>
    <mergeCell ref="A3:D3"/>
    <mergeCell ref="B6:C6"/>
    <mergeCell ref="B16:C16"/>
    <mergeCell ref="B21:C21"/>
    <mergeCell ref="A31:D31"/>
    <mergeCell ref="B34:C34"/>
    <mergeCell ref="A44:C44"/>
    <mergeCell ref="B46:C46"/>
    <mergeCell ref="B51:C51"/>
    <mergeCell ref="A77:B77"/>
    <mergeCell ref="A89:C89"/>
    <mergeCell ref="A53:B53"/>
    <mergeCell ref="A60:C60"/>
    <mergeCell ref="A63:B63"/>
    <mergeCell ref="A75:C7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E501-47DD-4994-BBCE-4CAACA2E6807}">
  <dimension ref="A1:D28"/>
  <sheetViews>
    <sheetView zoomScale="85" zoomScaleNormal="85" workbookViewId="0">
      <selection activeCell="E23" sqref="E23"/>
    </sheetView>
  </sheetViews>
  <sheetFormatPr defaultRowHeight="14.5" x14ac:dyDescent="0.35"/>
  <cols>
    <col min="1" max="1" width="33.36328125" bestFit="1" customWidth="1"/>
    <col min="2" max="2" width="30.54296875" bestFit="1" customWidth="1"/>
    <col min="6" max="6" width="12.26953125" bestFit="1" customWidth="1"/>
    <col min="7" max="8" width="22.54296875" bestFit="1" customWidth="1"/>
  </cols>
  <sheetData>
    <row r="1" spans="1:4" x14ac:dyDescent="0.35">
      <c r="A1" s="33" t="s">
        <v>111</v>
      </c>
      <c r="B1" s="34"/>
      <c r="C1" s="34"/>
      <c r="D1" s="34"/>
    </row>
    <row r="3" spans="1:4" x14ac:dyDescent="0.35">
      <c r="A3" t="s">
        <v>122</v>
      </c>
      <c r="B3" t="s">
        <v>123</v>
      </c>
    </row>
    <row r="4" spans="1:4" x14ac:dyDescent="0.35">
      <c r="A4" t="s">
        <v>112</v>
      </c>
      <c r="B4">
        <f>SUM(Fleet_Data!D2:D805)</f>
        <v>212316</v>
      </c>
    </row>
    <row r="5" spans="1:4" x14ac:dyDescent="0.35">
      <c r="A5" t="s">
        <v>113</v>
      </c>
      <c r="B5">
        <f>SUM(Fleet_Data!E2:E805)</f>
        <v>52569.700000000004</v>
      </c>
    </row>
    <row r="6" spans="1:4" x14ac:dyDescent="0.35">
      <c r="A6" t="s">
        <v>114</v>
      </c>
      <c r="B6">
        <f>ROUND(B4/B5,2)</f>
        <v>4.04</v>
      </c>
    </row>
    <row r="7" spans="1:4" x14ac:dyDescent="0.35">
      <c r="A7" t="s">
        <v>115</v>
      </c>
      <c r="B7">
        <f>ROUND(AVERAGE(Fleet_Data!F2:F805),2)</f>
        <v>2.36</v>
      </c>
    </row>
    <row r="8" spans="1:4" x14ac:dyDescent="0.35">
      <c r="A8" t="s">
        <v>116</v>
      </c>
      <c r="B8">
        <f>ROUND(AVERAGE(Fleet_Data!I2:I805),2)</f>
        <v>92.54</v>
      </c>
    </row>
    <row r="10" spans="1:4" x14ac:dyDescent="0.35">
      <c r="A10" s="15" t="s">
        <v>117</v>
      </c>
    </row>
    <row r="12" spans="1:4" x14ac:dyDescent="0.35">
      <c r="A12" s="12" t="s">
        <v>0</v>
      </c>
      <c r="B12" t="s">
        <v>119</v>
      </c>
    </row>
    <row r="13" spans="1:4" x14ac:dyDescent="0.35">
      <c r="A13" s="13" t="s">
        <v>13</v>
      </c>
      <c r="B13" s="14">
        <v>14685.8</v>
      </c>
    </row>
    <row r="14" spans="1:4" x14ac:dyDescent="0.35">
      <c r="A14" s="13" t="s">
        <v>23</v>
      </c>
      <c r="B14" s="14">
        <v>14013.800000000003</v>
      </c>
    </row>
    <row r="15" spans="1:4" x14ac:dyDescent="0.35">
      <c r="A15" s="13" t="s">
        <v>11</v>
      </c>
      <c r="B15" s="14">
        <v>13386.499999999998</v>
      </c>
    </row>
    <row r="16" spans="1:4" x14ac:dyDescent="0.35">
      <c r="A16" s="13" t="s">
        <v>45</v>
      </c>
      <c r="B16" s="14">
        <v>12803.499999999998</v>
      </c>
    </row>
    <row r="17" spans="1:2" x14ac:dyDescent="0.35">
      <c r="A17" s="13" t="s">
        <v>25</v>
      </c>
      <c r="B17" s="14">
        <v>12650.299999999997</v>
      </c>
    </row>
    <row r="18" spans="1:2" x14ac:dyDescent="0.35">
      <c r="A18" s="13" t="s">
        <v>118</v>
      </c>
      <c r="B18" s="14">
        <v>67539.899999999994</v>
      </c>
    </row>
    <row r="19" spans="1:2" x14ac:dyDescent="0.35">
      <c r="A19" s="13"/>
      <c r="B19" s="14"/>
    </row>
    <row r="20" spans="1:2" x14ac:dyDescent="0.35">
      <c r="A20" s="15" t="s">
        <v>120</v>
      </c>
    </row>
    <row r="22" spans="1:2" x14ac:dyDescent="0.35">
      <c r="A22" s="12" t="s">
        <v>0</v>
      </c>
      <c r="B22" t="s">
        <v>121</v>
      </c>
    </row>
    <row r="23" spans="1:2" x14ac:dyDescent="0.35">
      <c r="A23" s="13" t="s">
        <v>13</v>
      </c>
      <c r="B23" s="14">
        <v>3629.2000000000003</v>
      </c>
    </row>
    <row r="24" spans="1:2" x14ac:dyDescent="0.35">
      <c r="A24" s="13" t="s">
        <v>23</v>
      </c>
      <c r="B24" s="14">
        <v>3334.099999999999</v>
      </c>
    </row>
    <row r="25" spans="1:2" x14ac:dyDescent="0.35">
      <c r="A25" s="13" t="s">
        <v>45</v>
      </c>
      <c r="B25" s="14">
        <v>3323.5999999999995</v>
      </c>
    </row>
    <row r="26" spans="1:2" x14ac:dyDescent="0.35">
      <c r="A26" s="13" t="s">
        <v>25</v>
      </c>
      <c r="B26" s="14">
        <v>3237.2000000000007</v>
      </c>
    </row>
    <row r="27" spans="1:2" x14ac:dyDescent="0.35">
      <c r="A27" s="13" t="s">
        <v>11</v>
      </c>
      <c r="B27" s="14">
        <v>3214.6999999999985</v>
      </c>
    </row>
    <row r="28" spans="1:2" x14ac:dyDescent="0.35">
      <c r="A28" s="13" t="s">
        <v>118</v>
      </c>
      <c r="B28" s="14">
        <v>16738.8</v>
      </c>
    </row>
  </sheetData>
  <mergeCells count="1">
    <mergeCell ref="A1:D1"/>
  </mergeCells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37B9-2E4E-48EE-AF3F-9CD58B52A223}">
  <dimension ref="A1:L57"/>
  <sheetViews>
    <sheetView topLeftCell="A34" zoomScale="85" zoomScaleNormal="85" workbookViewId="0">
      <selection activeCell="B15" sqref="B15"/>
    </sheetView>
  </sheetViews>
  <sheetFormatPr defaultRowHeight="14.5" x14ac:dyDescent="0.35"/>
  <cols>
    <col min="1" max="1" width="74.453125" bestFit="1" customWidth="1"/>
    <col min="2" max="2" width="70.36328125" bestFit="1" customWidth="1"/>
    <col min="3" max="3" width="19.1796875" customWidth="1"/>
    <col min="4" max="4" width="11.81640625" bestFit="1" customWidth="1"/>
  </cols>
  <sheetData>
    <row r="1" spans="1:12" x14ac:dyDescent="0.35">
      <c r="A1" s="35" t="s">
        <v>126</v>
      </c>
      <c r="B1" s="36"/>
      <c r="C1" s="37"/>
    </row>
    <row r="2" spans="1:12" x14ac:dyDescent="0.35">
      <c r="A2" s="38"/>
      <c r="B2" s="39"/>
      <c r="C2" s="40"/>
    </row>
    <row r="3" spans="1:12" x14ac:dyDescent="0.35">
      <c r="A3" s="5"/>
      <c r="B3" s="5"/>
      <c r="C3" s="5"/>
      <c r="D3" s="5"/>
      <c r="E3" s="5"/>
      <c r="F3" s="5"/>
      <c r="G3" s="5"/>
      <c r="H3" s="5"/>
    </row>
    <row r="4" spans="1:12" x14ac:dyDescent="0.35">
      <c r="A4" s="5"/>
      <c r="B4" s="5"/>
      <c r="C4" s="5"/>
      <c r="D4" s="5"/>
      <c r="E4" s="5"/>
      <c r="F4" s="5"/>
      <c r="G4" s="5"/>
      <c r="H4" s="5"/>
    </row>
    <row r="6" spans="1:12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5" customHeight="1" x14ac:dyDescent="0.35">
      <c r="A7" s="13" t="s">
        <v>127</v>
      </c>
      <c r="B7" s="17" t="s">
        <v>132</v>
      </c>
      <c r="C7" s="4"/>
      <c r="D7" s="4"/>
      <c r="E7" s="4"/>
      <c r="F7" s="4"/>
      <c r="G7" s="4"/>
      <c r="H7" s="4"/>
      <c r="I7" s="4"/>
      <c r="J7" s="4"/>
      <c r="K7" s="4"/>
      <c r="L7" s="4"/>
    </row>
    <row r="9" spans="1:12" ht="28.5" x14ac:dyDescent="0.35">
      <c r="A9" s="16" t="s">
        <v>125</v>
      </c>
      <c r="B9" s="16" t="s">
        <v>119</v>
      </c>
      <c r="C9" s="16" t="s">
        <v>121</v>
      </c>
      <c r="D9" s="16" t="s">
        <v>124</v>
      </c>
    </row>
    <row r="10" spans="1:12" x14ac:dyDescent="0.35">
      <c r="A10" s="13" t="s">
        <v>47</v>
      </c>
      <c r="B10" s="14">
        <v>9519.5</v>
      </c>
      <c r="C10" s="14">
        <v>2563.0000000000005</v>
      </c>
      <c r="D10">
        <f>B10/C10</f>
        <v>3.7142021069059687</v>
      </c>
    </row>
    <row r="11" spans="1:12" x14ac:dyDescent="0.35">
      <c r="A11" s="13" t="s">
        <v>27</v>
      </c>
      <c r="B11" s="14">
        <v>10172.900000000001</v>
      </c>
      <c r="C11" s="14">
        <v>2661.5999999999995</v>
      </c>
      <c r="D11">
        <f>B11/C11</f>
        <v>3.8220994890291569</v>
      </c>
    </row>
    <row r="12" spans="1:12" x14ac:dyDescent="0.35">
      <c r="A12" s="13" t="s">
        <v>45</v>
      </c>
      <c r="B12" s="14">
        <v>12803.499999999998</v>
      </c>
      <c r="C12" s="14">
        <v>3323.5999999999995</v>
      </c>
      <c r="D12">
        <f>B12/C12</f>
        <v>3.8522987122397403</v>
      </c>
    </row>
    <row r="13" spans="1:12" x14ac:dyDescent="0.35">
      <c r="A13" s="13" t="s">
        <v>25</v>
      </c>
      <c r="B13" s="14">
        <v>12650.299999999997</v>
      </c>
      <c r="C13" s="14">
        <v>3237.2000000000007</v>
      </c>
      <c r="D13">
        <f>B13/C13</f>
        <v>3.9077906833065597</v>
      </c>
    </row>
    <row r="14" spans="1:12" x14ac:dyDescent="0.35">
      <c r="A14" s="13" t="s">
        <v>17</v>
      </c>
      <c r="B14" s="14">
        <v>9376.8000000000011</v>
      </c>
      <c r="C14" s="14">
        <v>2376.3999999999996</v>
      </c>
      <c r="D14">
        <f>B14/C14</f>
        <v>3.9458003703080302</v>
      </c>
    </row>
    <row r="17" spans="1:4" ht="15.5" x14ac:dyDescent="0.35">
      <c r="A17" s="13" t="s">
        <v>129</v>
      </c>
      <c r="B17" s="17" t="s">
        <v>128</v>
      </c>
    </row>
    <row r="19" spans="1:4" x14ac:dyDescent="0.35">
      <c r="A19" s="16" t="s">
        <v>130</v>
      </c>
      <c r="B19" s="16" t="s">
        <v>131</v>
      </c>
    </row>
    <row r="20" spans="1:4" x14ac:dyDescent="0.35">
      <c r="A20" s="18" t="s">
        <v>14</v>
      </c>
      <c r="B20">
        <v>2.61</v>
      </c>
    </row>
    <row r="21" spans="1:4" x14ac:dyDescent="0.35">
      <c r="A21" s="18" t="s">
        <v>28</v>
      </c>
      <c r="B21">
        <v>2.54</v>
      </c>
    </row>
    <row r="22" spans="1:4" x14ac:dyDescent="0.35">
      <c r="A22" s="18" t="s">
        <v>18</v>
      </c>
      <c r="B22">
        <v>2.5299999999999998</v>
      </c>
    </row>
    <row r="23" spans="1:4" x14ac:dyDescent="0.35">
      <c r="A23" s="18" t="s">
        <v>30</v>
      </c>
      <c r="B23">
        <v>2.5099999999999998</v>
      </c>
    </row>
    <row r="24" spans="1:4" x14ac:dyDescent="0.35">
      <c r="A24" s="18" t="s">
        <v>24</v>
      </c>
      <c r="B24" s="18">
        <v>2.5</v>
      </c>
    </row>
    <row r="27" spans="1:4" ht="15.5" x14ac:dyDescent="0.35">
      <c r="A27" s="19" t="s">
        <v>135</v>
      </c>
      <c r="B27" s="17" t="s">
        <v>134</v>
      </c>
    </row>
    <row r="29" spans="1:4" ht="28.5" x14ac:dyDescent="0.35">
      <c r="A29" s="16" t="s">
        <v>125</v>
      </c>
      <c r="B29" s="16" t="s">
        <v>119</v>
      </c>
      <c r="C29" s="16" t="s">
        <v>121</v>
      </c>
      <c r="D29" s="16" t="s">
        <v>124</v>
      </c>
    </row>
    <row r="30" spans="1:4" x14ac:dyDescent="0.35">
      <c r="A30" s="13" t="s">
        <v>47</v>
      </c>
      <c r="B30" s="14">
        <v>9519.5</v>
      </c>
      <c r="C30" s="14">
        <v>2563.0000000000005</v>
      </c>
      <c r="D30">
        <f>B30/C30</f>
        <v>3.7142021069059687</v>
      </c>
    </row>
    <row r="31" spans="1:4" x14ac:dyDescent="0.35">
      <c r="A31" s="13" t="s">
        <v>27</v>
      </c>
      <c r="B31" s="14">
        <v>10172.900000000001</v>
      </c>
      <c r="C31" s="14">
        <v>2661.5999999999995</v>
      </c>
      <c r="D31">
        <f>B31/C31</f>
        <v>3.8220994890291569</v>
      </c>
    </row>
    <row r="32" spans="1:4" x14ac:dyDescent="0.35">
      <c r="A32" s="13" t="s">
        <v>45</v>
      </c>
      <c r="B32" s="14">
        <v>12803.499999999998</v>
      </c>
      <c r="C32" s="14">
        <v>3323.5999999999995</v>
      </c>
      <c r="D32">
        <f>B32/C32</f>
        <v>3.8522987122397403</v>
      </c>
    </row>
    <row r="33" spans="1:4" x14ac:dyDescent="0.35">
      <c r="A33" s="13" t="s">
        <v>25</v>
      </c>
      <c r="B33" s="14">
        <v>12650.299999999997</v>
      </c>
      <c r="C33" s="14">
        <v>3237.2000000000007</v>
      </c>
      <c r="D33">
        <f>B33/C33</f>
        <v>3.9077906833065597</v>
      </c>
    </row>
    <row r="35" spans="1:4" x14ac:dyDescent="0.35">
      <c r="A35" s="41" t="s">
        <v>133</v>
      </c>
      <c r="B35" s="41"/>
      <c r="C35" s="41"/>
      <c r="D35" s="41"/>
    </row>
    <row r="36" spans="1:4" x14ac:dyDescent="0.35">
      <c r="A36" s="41"/>
      <c r="B36" s="41"/>
      <c r="C36" s="41"/>
      <c r="D36" s="41"/>
    </row>
    <row r="40" spans="1:4" ht="15.5" x14ac:dyDescent="0.35">
      <c r="A40" t="s">
        <v>137</v>
      </c>
      <c r="B40" s="17" t="s">
        <v>136</v>
      </c>
    </row>
    <row r="43" spans="1:4" x14ac:dyDescent="0.35">
      <c r="A43" s="16" t="s">
        <v>125</v>
      </c>
      <c r="B43" s="16" t="s">
        <v>138</v>
      </c>
    </row>
    <row r="44" spans="1:4" x14ac:dyDescent="0.35">
      <c r="A44" s="13" t="s">
        <v>17</v>
      </c>
      <c r="B44" s="14">
        <v>90.01</v>
      </c>
    </row>
    <row r="45" spans="1:4" x14ac:dyDescent="0.35">
      <c r="A45" s="13" t="s">
        <v>27</v>
      </c>
      <c r="B45" s="14">
        <v>91.18</v>
      </c>
    </row>
    <row r="46" spans="1:4" x14ac:dyDescent="0.35">
      <c r="A46" s="13" t="s">
        <v>9</v>
      </c>
      <c r="B46" s="14">
        <v>91.34</v>
      </c>
    </row>
    <row r="47" spans="1:4" x14ac:dyDescent="0.35">
      <c r="A47" s="13" t="s">
        <v>41</v>
      </c>
      <c r="B47" s="14">
        <v>91.87</v>
      </c>
    </row>
    <row r="48" spans="1:4" x14ac:dyDescent="0.35">
      <c r="A48" s="13" t="s">
        <v>11</v>
      </c>
      <c r="B48" s="14">
        <v>92.03</v>
      </c>
    </row>
    <row r="51" spans="1:1" ht="15.5" x14ac:dyDescent="0.35">
      <c r="A51" s="17" t="s">
        <v>139</v>
      </c>
    </row>
    <row r="52" spans="1:1" x14ac:dyDescent="0.35">
      <c r="A52" s="20" t="s">
        <v>174</v>
      </c>
    </row>
    <row r="53" spans="1:1" x14ac:dyDescent="0.35">
      <c r="A53" s="20" t="s">
        <v>175</v>
      </c>
    </row>
    <row r="54" spans="1:1" x14ac:dyDescent="0.35">
      <c r="A54" s="20" t="s">
        <v>176</v>
      </c>
    </row>
    <row r="55" spans="1:1" x14ac:dyDescent="0.35">
      <c r="A55" s="20" t="s">
        <v>177</v>
      </c>
    </row>
    <row r="56" spans="1:1" x14ac:dyDescent="0.35">
      <c r="A56" s="20" t="s">
        <v>178</v>
      </c>
    </row>
    <row r="57" spans="1:1" x14ac:dyDescent="0.35">
      <c r="A57" s="20" t="s">
        <v>179</v>
      </c>
    </row>
  </sheetData>
  <mergeCells count="2">
    <mergeCell ref="A1:C2"/>
    <mergeCell ref="A35:D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B695-B16C-481B-A829-F36C482C0AC4}">
  <dimension ref="A1:E66"/>
  <sheetViews>
    <sheetView tabSelected="1" zoomScaleNormal="100" workbookViewId="0">
      <selection activeCell="C8" sqref="C8"/>
    </sheetView>
  </sheetViews>
  <sheetFormatPr defaultRowHeight="14.5" x14ac:dyDescent="0.35"/>
  <cols>
    <col min="1" max="1" width="85" customWidth="1"/>
    <col min="2" max="2" width="20" customWidth="1"/>
    <col min="3" max="3" width="12" customWidth="1"/>
    <col min="4" max="4" width="12.6328125" bestFit="1" customWidth="1"/>
    <col min="5" max="5" width="8" customWidth="1"/>
  </cols>
  <sheetData>
    <row r="1" spans="1:5" ht="18" x14ac:dyDescent="0.4">
      <c r="A1" s="21" t="s">
        <v>140</v>
      </c>
    </row>
    <row r="3" spans="1:5" ht="15.5" x14ac:dyDescent="0.35">
      <c r="A3" s="17" t="s">
        <v>141</v>
      </c>
    </row>
    <row r="4" spans="1:5" x14ac:dyDescent="0.35">
      <c r="A4" t="s">
        <v>169</v>
      </c>
      <c r="B4">
        <f>COUNTIF(Fuel_Events!C2:C304,"FUEL DROP")</f>
        <v>96</v>
      </c>
    </row>
    <row r="5" spans="1:5" x14ac:dyDescent="0.35">
      <c r="A5" t="s">
        <v>170</v>
      </c>
      <c r="B5">
        <f>COUNTIFS(Fuel_Events!C2:C304,"FUEL DROP",Fuel_Events!D2:D304,"&gt;=40")</f>
        <v>38</v>
      </c>
    </row>
    <row r="6" spans="1:5" x14ac:dyDescent="0.35">
      <c r="A6" t="s">
        <v>171</v>
      </c>
      <c r="B6">
        <f>COUNTIFS(Fuel_Events!C2:C304,"FUEL DROP",Fuel_Events!E2:E304,"REMOTE ROUTE")</f>
        <v>3</v>
      </c>
    </row>
    <row r="7" spans="1:5" x14ac:dyDescent="0.35">
      <c r="A7" t="s">
        <v>172</v>
      </c>
      <c r="B7">
        <f>COUNTIFS(Fuel_Events!C2:C304,"Fuel Drop",Fuel_Events!F2:F304,"&gt;=22")+COUNTIFS(Fuel_Events!C2:C304,"Fuel Drop",Fuel_Events!F2:F304,"&lt;=6")</f>
        <v>39</v>
      </c>
    </row>
    <row r="9" spans="1:5" ht="15.5" x14ac:dyDescent="0.35">
      <c r="A9" s="17" t="s">
        <v>142</v>
      </c>
    </row>
    <row r="10" spans="1:5" x14ac:dyDescent="0.35">
      <c r="A10" s="16" t="s">
        <v>0</v>
      </c>
      <c r="B10" s="16" t="s">
        <v>49</v>
      </c>
      <c r="C10" s="16" t="s">
        <v>51</v>
      </c>
      <c r="D10" s="16" t="s">
        <v>52</v>
      </c>
      <c r="E10" s="16" t="s">
        <v>143</v>
      </c>
    </row>
    <row r="11" spans="1:5" x14ac:dyDescent="0.35">
      <c r="A11" s="18" t="s">
        <v>43</v>
      </c>
      <c r="B11" s="18" t="s">
        <v>144</v>
      </c>
      <c r="C11" s="22">
        <v>56.8</v>
      </c>
      <c r="D11" s="18" t="s">
        <v>58</v>
      </c>
      <c r="E11" s="18">
        <v>4</v>
      </c>
    </row>
    <row r="12" spans="1:5" x14ac:dyDescent="0.35">
      <c r="A12" s="18" t="s">
        <v>15</v>
      </c>
      <c r="B12" s="18" t="s">
        <v>145</v>
      </c>
      <c r="C12" s="22">
        <v>55.3</v>
      </c>
      <c r="D12" s="18" t="s">
        <v>56</v>
      </c>
      <c r="E12" s="18">
        <v>23</v>
      </c>
    </row>
    <row r="13" spans="1:5" x14ac:dyDescent="0.35">
      <c r="A13" s="18" t="s">
        <v>25</v>
      </c>
      <c r="B13" s="18" t="s">
        <v>146</v>
      </c>
      <c r="C13" s="22">
        <v>55.1</v>
      </c>
      <c r="D13" s="18" t="s">
        <v>54</v>
      </c>
      <c r="E13" s="18">
        <v>3</v>
      </c>
    </row>
    <row r="14" spans="1:5" x14ac:dyDescent="0.35">
      <c r="A14" s="18" t="s">
        <v>33</v>
      </c>
      <c r="B14" s="18" t="s">
        <v>147</v>
      </c>
      <c r="C14" s="22">
        <v>53.2</v>
      </c>
      <c r="D14" s="18" t="s">
        <v>56</v>
      </c>
      <c r="E14" s="18">
        <v>5</v>
      </c>
    </row>
    <row r="15" spans="1:5" x14ac:dyDescent="0.35">
      <c r="A15" s="18" t="s">
        <v>27</v>
      </c>
      <c r="B15" s="18" t="s">
        <v>148</v>
      </c>
      <c r="C15" s="22">
        <v>52.1</v>
      </c>
      <c r="D15" s="18" t="s">
        <v>63</v>
      </c>
      <c r="E15" s="18">
        <v>1</v>
      </c>
    </row>
    <row r="16" spans="1:5" x14ac:dyDescent="0.35">
      <c r="A16" s="18" t="s">
        <v>27</v>
      </c>
      <c r="B16" s="18" t="s">
        <v>149</v>
      </c>
      <c r="C16" s="22">
        <v>48.5</v>
      </c>
      <c r="D16" s="18" t="s">
        <v>63</v>
      </c>
      <c r="E16" s="18">
        <v>2</v>
      </c>
    </row>
    <row r="17" spans="1:5" x14ac:dyDescent="0.35">
      <c r="A17" s="18" t="s">
        <v>41</v>
      </c>
      <c r="B17" s="18" t="s">
        <v>150</v>
      </c>
      <c r="C17" s="22">
        <v>48.1</v>
      </c>
      <c r="D17" s="18" t="s">
        <v>58</v>
      </c>
      <c r="E17" s="18">
        <v>5</v>
      </c>
    </row>
    <row r="18" spans="1:5" x14ac:dyDescent="0.35">
      <c r="A18" s="18" t="s">
        <v>11</v>
      </c>
      <c r="B18" s="18" t="s">
        <v>151</v>
      </c>
      <c r="C18" s="22">
        <v>45.9</v>
      </c>
      <c r="D18" s="18" t="s">
        <v>61</v>
      </c>
      <c r="E18" s="18">
        <v>4</v>
      </c>
    </row>
    <row r="19" spans="1:5" x14ac:dyDescent="0.35">
      <c r="A19" s="18" t="s">
        <v>17</v>
      </c>
      <c r="B19" s="18" t="s">
        <v>152</v>
      </c>
      <c r="C19" s="22">
        <v>44.9</v>
      </c>
      <c r="D19" s="18" t="s">
        <v>54</v>
      </c>
      <c r="E19" s="18">
        <v>1</v>
      </c>
    </row>
    <row r="20" spans="1:5" x14ac:dyDescent="0.35">
      <c r="A20" s="18" t="s">
        <v>33</v>
      </c>
      <c r="B20" s="18" t="s">
        <v>153</v>
      </c>
      <c r="C20" s="22">
        <v>44.3</v>
      </c>
      <c r="D20" s="18" t="s">
        <v>63</v>
      </c>
      <c r="E20" s="18">
        <v>3</v>
      </c>
    </row>
    <row r="21" spans="1:5" x14ac:dyDescent="0.35">
      <c r="A21" s="18" t="s">
        <v>25</v>
      </c>
      <c r="B21" s="18" t="s">
        <v>154</v>
      </c>
      <c r="C21" s="22">
        <v>41.8</v>
      </c>
      <c r="D21" s="18" t="s">
        <v>61</v>
      </c>
      <c r="E21" s="18">
        <v>5</v>
      </c>
    </row>
    <row r="22" spans="1:5" x14ac:dyDescent="0.35">
      <c r="A22" s="18" t="s">
        <v>13</v>
      </c>
      <c r="B22" s="18" t="s">
        <v>155</v>
      </c>
      <c r="C22" s="22">
        <v>41</v>
      </c>
      <c r="D22" s="18" t="s">
        <v>58</v>
      </c>
      <c r="E22" s="18">
        <v>1</v>
      </c>
    </row>
    <row r="23" spans="1:5" x14ac:dyDescent="0.35">
      <c r="A23" s="18" t="s">
        <v>29</v>
      </c>
      <c r="B23" s="18" t="s">
        <v>156</v>
      </c>
      <c r="C23" s="22">
        <v>37.200000000000003</v>
      </c>
      <c r="D23" s="18" t="s">
        <v>54</v>
      </c>
      <c r="E23" s="18">
        <v>23</v>
      </c>
    </row>
    <row r="24" spans="1:5" x14ac:dyDescent="0.35">
      <c r="A24" s="18" t="s">
        <v>13</v>
      </c>
      <c r="B24" s="18" t="s">
        <v>157</v>
      </c>
      <c r="C24" s="22">
        <v>33.6</v>
      </c>
      <c r="D24" s="18" t="s">
        <v>60</v>
      </c>
      <c r="E24" s="18">
        <v>0</v>
      </c>
    </row>
    <row r="25" spans="1:5" x14ac:dyDescent="0.35">
      <c r="A25" s="18" t="s">
        <v>39</v>
      </c>
      <c r="B25" s="18" t="s">
        <v>158</v>
      </c>
      <c r="C25" s="22">
        <v>30.1</v>
      </c>
      <c r="D25" s="18" t="s">
        <v>54</v>
      </c>
      <c r="E25" s="18">
        <v>1</v>
      </c>
    </row>
    <row r="28" spans="1:5" ht="15.5" x14ac:dyDescent="0.35">
      <c r="A28" s="17" t="s">
        <v>159</v>
      </c>
    </row>
    <row r="29" spans="1:5" x14ac:dyDescent="0.35">
      <c r="A29" t="s">
        <v>0</v>
      </c>
      <c r="B29" t="s">
        <v>160</v>
      </c>
    </row>
    <row r="30" spans="1:5" x14ac:dyDescent="0.35">
      <c r="A30" t="s">
        <v>37</v>
      </c>
      <c r="B30">
        <v>9</v>
      </c>
    </row>
    <row r="31" spans="1:5" x14ac:dyDescent="0.35">
      <c r="A31" t="s">
        <v>17</v>
      </c>
      <c r="B31">
        <v>9</v>
      </c>
    </row>
    <row r="32" spans="1:5" x14ac:dyDescent="0.35">
      <c r="A32" t="s">
        <v>25</v>
      </c>
      <c r="B32">
        <v>9</v>
      </c>
    </row>
    <row r="33" spans="1:5" x14ac:dyDescent="0.35">
      <c r="A33" t="s">
        <v>33</v>
      </c>
      <c r="B33">
        <v>8</v>
      </c>
    </row>
    <row r="34" spans="1:5" x14ac:dyDescent="0.35">
      <c r="A34" t="s">
        <v>27</v>
      </c>
      <c r="B34">
        <v>7</v>
      </c>
    </row>
    <row r="35" spans="1:5" x14ac:dyDescent="0.35">
      <c r="A35" t="s">
        <v>13</v>
      </c>
      <c r="B35">
        <v>6</v>
      </c>
    </row>
    <row r="36" spans="1:5" x14ac:dyDescent="0.35">
      <c r="A36" t="s">
        <v>15</v>
      </c>
      <c r="B36">
        <v>6</v>
      </c>
    </row>
    <row r="37" spans="1:5" x14ac:dyDescent="0.35">
      <c r="A37" t="s">
        <v>45</v>
      </c>
      <c r="B37">
        <v>6</v>
      </c>
    </row>
    <row r="38" spans="1:5" x14ac:dyDescent="0.35">
      <c r="A38" t="s">
        <v>41</v>
      </c>
      <c r="B38">
        <v>5</v>
      </c>
    </row>
    <row r="39" spans="1:5" x14ac:dyDescent="0.35">
      <c r="A39" t="s">
        <v>31</v>
      </c>
      <c r="B39">
        <v>4</v>
      </c>
    </row>
    <row r="42" spans="1:5" ht="15.5" x14ac:dyDescent="0.35">
      <c r="A42" s="17" t="s">
        <v>161</v>
      </c>
    </row>
    <row r="44" spans="1:5" x14ac:dyDescent="0.35">
      <c r="A44" s="6" t="s">
        <v>0</v>
      </c>
      <c r="B44" s="6" t="s">
        <v>49</v>
      </c>
      <c r="C44" s="6" t="s">
        <v>51</v>
      </c>
      <c r="D44" s="6" t="s">
        <v>52</v>
      </c>
      <c r="E44" s="6" t="s">
        <v>143</v>
      </c>
    </row>
    <row r="45" spans="1:5" x14ac:dyDescent="0.35">
      <c r="A45" s="3" t="s">
        <v>43</v>
      </c>
      <c r="B45" s="25">
        <v>46072.199305555558</v>
      </c>
      <c r="C45" s="3">
        <v>56.8</v>
      </c>
      <c r="D45" s="3" t="s">
        <v>58</v>
      </c>
      <c r="E45" s="3">
        <v>4</v>
      </c>
    </row>
    <row r="46" spans="1:5" x14ac:dyDescent="0.35">
      <c r="A46" s="3" t="s">
        <v>25</v>
      </c>
      <c r="B46" s="25">
        <v>46107.157638888886</v>
      </c>
      <c r="C46" s="3">
        <v>55.1</v>
      </c>
      <c r="D46" s="3" t="s">
        <v>54</v>
      </c>
      <c r="E46" s="3">
        <v>3</v>
      </c>
    </row>
    <row r="47" spans="1:5" x14ac:dyDescent="0.35">
      <c r="A47" s="3" t="s">
        <v>27</v>
      </c>
      <c r="B47" s="25">
        <v>46073.069444444445</v>
      </c>
      <c r="C47" s="3">
        <v>52.1</v>
      </c>
      <c r="D47" s="3" t="s">
        <v>63</v>
      </c>
      <c r="E47" s="3">
        <v>1</v>
      </c>
    </row>
    <row r="48" spans="1:5" x14ac:dyDescent="0.35">
      <c r="A48" s="3" t="s">
        <v>27</v>
      </c>
      <c r="B48" s="25">
        <v>46068.09375</v>
      </c>
      <c r="C48" s="3">
        <v>48.5</v>
      </c>
      <c r="D48" s="3" t="s">
        <v>63</v>
      </c>
      <c r="E48" s="3">
        <v>2</v>
      </c>
    </row>
    <row r="49" spans="1:5" x14ac:dyDescent="0.35">
      <c r="A49" s="3" t="s">
        <v>11</v>
      </c>
      <c r="B49" s="25">
        <v>46109.182638888888</v>
      </c>
      <c r="C49" s="3">
        <v>45.9</v>
      </c>
      <c r="D49" s="3" t="s">
        <v>61</v>
      </c>
      <c r="E49" s="3">
        <v>4</v>
      </c>
    </row>
    <row r="50" spans="1:5" x14ac:dyDescent="0.35">
      <c r="A50" s="3" t="s">
        <v>17</v>
      </c>
      <c r="B50" s="25">
        <v>46088.07916666667</v>
      </c>
      <c r="C50" s="3">
        <v>44.9</v>
      </c>
      <c r="D50" s="3" t="s">
        <v>54</v>
      </c>
      <c r="E50" s="3">
        <v>1</v>
      </c>
    </row>
    <row r="51" spans="1:5" x14ac:dyDescent="0.35">
      <c r="A51" s="3" t="s">
        <v>33</v>
      </c>
      <c r="B51" s="25">
        <v>46086.131944444445</v>
      </c>
      <c r="C51" s="3">
        <v>44.3</v>
      </c>
      <c r="D51" s="3" t="s">
        <v>63</v>
      </c>
      <c r="E51" s="3">
        <v>3</v>
      </c>
    </row>
    <row r="52" spans="1:5" ht="15.5" x14ac:dyDescent="0.35">
      <c r="A52" s="17"/>
    </row>
    <row r="53" spans="1:5" ht="15.5" x14ac:dyDescent="0.35">
      <c r="A53" s="17" t="s">
        <v>162</v>
      </c>
    </row>
    <row r="54" spans="1:5" x14ac:dyDescent="0.35">
      <c r="A54" s="6" t="s">
        <v>0</v>
      </c>
      <c r="B54" s="6" t="s">
        <v>49</v>
      </c>
      <c r="C54" s="6" t="s">
        <v>51</v>
      </c>
      <c r="D54" s="6" t="s">
        <v>52</v>
      </c>
      <c r="E54" s="6" t="s">
        <v>143</v>
      </c>
    </row>
    <row r="55" spans="1:5" x14ac:dyDescent="0.35">
      <c r="A55" s="3" t="s">
        <v>27</v>
      </c>
      <c r="B55" s="25">
        <v>46068.09375</v>
      </c>
      <c r="C55" s="3">
        <v>48.5</v>
      </c>
      <c r="D55" s="3" t="s">
        <v>63</v>
      </c>
      <c r="E55" s="3">
        <v>2</v>
      </c>
    </row>
    <row r="56" spans="1:5" x14ac:dyDescent="0.35">
      <c r="A56" s="3" t="s">
        <v>27</v>
      </c>
      <c r="B56" s="25">
        <v>46073.069444444445</v>
      </c>
      <c r="C56" s="3">
        <v>52.1</v>
      </c>
      <c r="D56" s="3" t="s">
        <v>63</v>
      </c>
      <c r="E56" s="3">
        <v>1</v>
      </c>
    </row>
    <row r="57" spans="1:5" x14ac:dyDescent="0.35">
      <c r="A57" s="3" t="s">
        <v>33</v>
      </c>
      <c r="B57" s="25">
        <v>46086.131944444445</v>
      </c>
      <c r="C57" s="3">
        <v>44.3</v>
      </c>
      <c r="D57" s="3" t="s">
        <v>63</v>
      </c>
      <c r="E57" s="3">
        <v>3</v>
      </c>
    </row>
    <row r="59" spans="1:5" ht="15.5" x14ac:dyDescent="0.35">
      <c r="A59" s="17" t="s">
        <v>163</v>
      </c>
    </row>
    <row r="60" spans="1:5" x14ac:dyDescent="0.35">
      <c r="A60" s="20" t="s">
        <v>164</v>
      </c>
    </row>
    <row r="61" spans="1:5" x14ac:dyDescent="0.35">
      <c r="A61" s="20" t="s">
        <v>165</v>
      </c>
    </row>
    <row r="62" spans="1:5" x14ac:dyDescent="0.35">
      <c r="A62" s="20" t="s">
        <v>166</v>
      </c>
    </row>
    <row r="63" spans="1:5" x14ac:dyDescent="0.35">
      <c r="A63" s="20" t="s">
        <v>167</v>
      </c>
    </row>
    <row r="64" spans="1:5" x14ac:dyDescent="0.35">
      <c r="A64" s="20" t="s">
        <v>168</v>
      </c>
    </row>
    <row r="65" spans="1:1" x14ac:dyDescent="0.35">
      <c r="A65" s="20"/>
    </row>
    <row r="66" spans="1:1" x14ac:dyDescent="0.35">
      <c r="A6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Fleet_Data</vt:lpstr>
      <vt:lpstr>Fuel_Events</vt:lpstr>
      <vt:lpstr>Task_1_Data_Validation</vt:lpstr>
      <vt:lpstr>Task 2 – KPI Analysis</vt:lpstr>
      <vt:lpstr>Task 3 – Business Insights </vt:lpstr>
      <vt:lpstr>Task 4 – Fuel Investigation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dcterms:created xsi:type="dcterms:W3CDTF">2026-06-04T11:57:07Z</dcterms:created>
  <dcterms:modified xsi:type="dcterms:W3CDTF">2026-08-07T10:32:30Z</dcterms:modified>
</cp:coreProperties>
</file>